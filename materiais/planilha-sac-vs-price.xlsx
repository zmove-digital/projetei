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zende\Documents\New OpenCode Project\"/>
    </mc:Choice>
  </mc:AlternateContent>
  <xr:revisionPtr revIDLastSave="0" documentId="13_ncr:1_{6CD11F00-C672-424C-AADA-9AF451C69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dor SAC x PRICE" sheetId="1" r:id="rId1"/>
    <sheet name="Resumo Comparativo" sheetId="2" r:id="rId2"/>
    <sheet name="Gráfic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D13" i="2"/>
  <c r="C9" i="1"/>
  <c r="C5" i="2" s="1"/>
  <c r="C8" i="2"/>
  <c r="C4" i="2"/>
  <c r="C11" i="1"/>
  <c r="C237" i="1" s="1"/>
  <c r="C197" i="1" l="1"/>
  <c r="E315" i="1"/>
  <c r="C202" i="1"/>
  <c r="J234" i="1"/>
  <c r="I339" i="1"/>
  <c r="I225" i="1"/>
  <c r="C204" i="1"/>
  <c r="J375" i="1"/>
  <c r="I374" i="1"/>
  <c r="H373" i="1"/>
  <c r="F372" i="1"/>
  <c r="E371" i="1"/>
  <c r="D370" i="1"/>
  <c r="C369" i="1"/>
  <c r="J367" i="1"/>
  <c r="I366" i="1"/>
  <c r="H365" i="1"/>
  <c r="F364" i="1"/>
  <c r="E363" i="1"/>
  <c r="D362" i="1"/>
  <c r="C361" i="1"/>
  <c r="J359" i="1"/>
  <c r="I358" i="1"/>
  <c r="H357" i="1"/>
  <c r="F356" i="1"/>
  <c r="E355" i="1"/>
  <c r="D354" i="1"/>
  <c r="C353" i="1"/>
  <c r="J351" i="1"/>
  <c r="I350" i="1"/>
  <c r="H349" i="1"/>
  <c r="F348" i="1"/>
  <c r="E347" i="1"/>
  <c r="D346" i="1"/>
  <c r="C345" i="1"/>
  <c r="J343" i="1"/>
  <c r="I342" i="1"/>
  <c r="H341" i="1"/>
  <c r="F340" i="1"/>
  <c r="E339" i="1"/>
  <c r="D338" i="1"/>
  <c r="C337" i="1"/>
  <c r="J335" i="1"/>
  <c r="I334" i="1"/>
  <c r="H333" i="1"/>
  <c r="F332" i="1"/>
  <c r="E331" i="1"/>
  <c r="D330" i="1"/>
  <c r="C329" i="1"/>
  <c r="J327" i="1"/>
  <c r="I326" i="1"/>
  <c r="H325" i="1"/>
  <c r="F324" i="1"/>
  <c r="E323" i="1"/>
  <c r="D322" i="1"/>
  <c r="C321" i="1"/>
  <c r="J319" i="1"/>
  <c r="I318" i="1"/>
  <c r="H317" i="1"/>
  <c r="F316" i="1"/>
  <c r="I376" i="1"/>
  <c r="H375" i="1"/>
  <c r="F374" i="1"/>
  <c r="E373" i="1"/>
  <c r="D372" i="1"/>
  <c r="C371" i="1"/>
  <c r="J369" i="1"/>
  <c r="I368" i="1"/>
  <c r="H367" i="1"/>
  <c r="F366" i="1"/>
  <c r="E365" i="1"/>
  <c r="D364" i="1"/>
  <c r="C363" i="1"/>
  <c r="J361" i="1"/>
  <c r="I360" i="1"/>
  <c r="H359" i="1"/>
  <c r="C376" i="1"/>
  <c r="J374" i="1"/>
  <c r="I373" i="1"/>
  <c r="H372" i="1"/>
  <c r="F371" i="1"/>
  <c r="E370" i="1"/>
  <c r="D369" i="1"/>
  <c r="C368" i="1"/>
  <c r="J366" i="1"/>
  <c r="I365" i="1"/>
  <c r="H364" i="1"/>
  <c r="F363" i="1"/>
  <c r="E362" i="1"/>
  <c r="D361" i="1"/>
  <c r="C360" i="1"/>
  <c r="J358" i="1"/>
  <c r="I357" i="1"/>
  <c r="H356" i="1"/>
  <c r="F355" i="1"/>
  <c r="E354" i="1"/>
  <c r="D353" i="1"/>
  <c r="C352" i="1"/>
  <c r="J350" i="1"/>
  <c r="I349" i="1"/>
  <c r="H348" i="1"/>
  <c r="F347" i="1"/>
  <c r="E346" i="1"/>
  <c r="D345" i="1"/>
  <c r="C344" i="1"/>
  <c r="J342" i="1"/>
  <c r="I341" i="1"/>
  <c r="H340" i="1"/>
  <c r="F339" i="1"/>
  <c r="E338" i="1"/>
  <c r="D337" i="1"/>
  <c r="C336" i="1"/>
  <c r="J334" i="1"/>
  <c r="I333" i="1"/>
  <c r="H332" i="1"/>
  <c r="F331" i="1"/>
  <c r="E330" i="1"/>
  <c r="D329" i="1"/>
  <c r="C328" i="1"/>
  <c r="J326" i="1"/>
  <c r="I325" i="1"/>
  <c r="H324" i="1"/>
  <c r="F323" i="1"/>
  <c r="E322" i="1"/>
  <c r="D321" i="1"/>
  <c r="C320" i="1"/>
  <c r="J318" i="1"/>
  <c r="I317" i="1"/>
  <c r="H316" i="1"/>
  <c r="F315" i="1"/>
  <c r="F375" i="1"/>
  <c r="J373" i="1"/>
  <c r="J371" i="1"/>
  <c r="C370" i="1"/>
  <c r="E368" i="1"/>
  <c r="E366" i="1"/>
  <c r="I364" i="1"/>
  <c r="I362" i="1"/>
  <c r="J360" i="1"/>
  <c r="D359" i="1"/>
  <c r="F357" i="1"/>
  <c r="C356" i="1"/>
  <c r="H354" i="1"/>
  <c r="J352" i="1"/>
  <c r="F351" i="1"/>
  <c r="C350" i="1"/>
  <c r="E348" i="1"/>
  <c r="J346" i="1"/>
  <c r="F345" i="1"/>
  <c r="I343" i="1"/>
  <c r="E342" i="1"/>
  <c r="J340" i="1"/>
  <c r="D339" i="1"/>
  <c r="I337" i="1"/>
  <c r="E336" i="1"/>
  <c r="H334" i="1"/>
  <c r="D333" i="1"/>
  <c r="I331" i="1"/>
  <c r="C330" i="1"/>
  <c r="H328" i="1"/>
  <c r="D327" i="1"/>
  <c r="F325" i="1"/>
  <c r="C324" i="1"/>
  <c r="H322" i="1"/>
  <c r="J320" i="1"/>
  <c r="F319" i="1"/>
  <c r="C318" i="1"/>
  <c r="E316" i="1"/>
  <c r="C315" i="1"/>
  <c r="J313" i="1"/>
  <c r="I312" i="1"/>
  <c r="H311" i="1"/>
  <c r="F310" i="1"/>
  <c r="E309" i="1"/>
  <c r="D308" i="1"/>
  <c r="C307" i="1"/>
  <c r="J305" i="1"/>
  <c r="I304" i="1"/>
  <c r="H303" i="1"/>
  <c r="F302" i="1"/>
  <c r="E301" i="1"/>
  <c r="D300" i="1"/>
  <c r="C299" i="1"/>
  <c r="J297" i="1"/>
  <c r="I296" i="1"/>
  <c r="H295" i="1"/>
  <c r="F294" i="1"/>
  <c r="E293" i="1"/>
  <c r="D292" i="1"/>
  <c r="C291" i="1"/>
  <c r="J289" i="1"/>
  <c r="I288" i="1"/>
  <c r="E375" i="1"/>
  <c r="F373" i="1"/>
  <c r="I371" i="1"/>
  <c r="I369" i="1"/>
  <c r="D368" i="1"/>
  <c r="D366" i="1"/>
  <c r="E364" i="1"/>
  <c r="H362" i="1"/>
  <c r="H360" i="1"/>
  <c r="C359" i="1"/>
  <c r="E357" i="1"/>
  <c r="J355" i="1"/>
  <c r="F354" i="1"/>
  <c r="I352" i="1"/>
  <c r="E351" i="1"/>
  <c r="J349" i="1"/>
  <c r="D348" i="1"/>
  <c r="I346" i="1"/>
  <c r="E345" i="1"/>
  <c r="H343" i="1"/>
  <c r="D342" i="1"/>
  <c r="I340" i="1"/>
  <c r="C339" i="1"/>
  <c r="H337" i="1"/>
  <c r="D336" i="1"/>
  <c r="F334" i="1"/>
  <c r="C333" i="1"/>
  <c r="H331" i="1"/>
  <c r="J329" i="1"/>
  <c r="F328" i="1"/>
  <c r="C327" i="1"/>
  <c r="E325" i="1"/>
  <c r="J323" i="1"/>
  <c r="F322" i="1"/>
  <c r="I320" i="1"/>
  <c r="E319" i="1"/>
  <c r="J317" i="1"/>
  <c r="D316" i="1"/>
  <c r="J314" i="1"/>
  <c r="I313" i="1"/>
  <c r="H312" i="1"/>
  <c r="F311" i="1"/>
  <c r="E310" i="1"/>
  <c r="D309" i="1"/>
  <c r="C308" i="1"/>
  <c r="J306" i="1"/>
  <c r="I305" i="1"/>
  <c r="H304" i="1"/>
  <c r="F303" i="1"/>
  <c r="E302" i="1"/>
  <c r="D301" i="1"/>
  <c r="C300" i="1"/>
  <c r="J298" i="1"/>
  <c r="I297" i="1"/>
  <c r="H296" i="1"/>
  <c r="F295" i="1"/>
  <c r="E294" i="1"/>
  <c r="D293" i="1"/>
  <c r="C292" i="1"/>
  <c r="J290" i="1"/>
  <c r="I289" i="1"/>
  <c r="H288" i="1"/>
  <c r="F287" i="1"/>
  <c r="E286" i="1"/>
  <c r="D285" i="1"/>
  <c r="C284" i="1"/>
  <c r="J282" i="1"/>
  <c r="I281" i="1"/>
  <c r="H280" i="1"/>
  <c r="F279" i="1"/>
  <c r="E278" i="1"/>
  <c r="D277" i="1"/>
  <c r="J376" i="1"/>
  <c r="D375" i="1"/>
  <c r="D373" i="1"/>
  <c r="H371" i="1"/>
  <c r="H369" i="1"/>
  <c r="I367" i="1"/>
  <c r="C366" i="1"/>
  <c r="C364" i="1"/>
  <c r="F362" i="1"/>
  <c r="F360" i="1"/>
  <c r="H358" i="1"/>
  <c r="D357" i="1"/>
  <c r="I355" i="1"/>
  <c r="C354" i="1"/>
  <c r="H352" i="1"/>
  <c r="D351" i="1"/>
  <c r="F349" i="1"/>
  <c r="C348" i="1"/>
  <c r="H346" i="1"/>
  <c r="J344" i="1"/>
  <c r="F343" i="1"/>
  <c r="C342" i="1"/>
  <c r="E340" i="1"/>
  <c r="J338" i="1"/>
  <c r="F337" i="1"/>
  <c r="I335" i="1"/>
  <c r="E334" i="1"/>
  <c r="J332" i="1"/>
  <c r="D331" i="1"/>
  <c r="I329" i="1"/>
  <c r="E328" i="1"/>
  <c r="H326" i="1"/>
  <c r="D325" i="1"/>
  <c r="I323" i="1"/>
  <c r="C322" i="1"/>
  <c r="H320" i="1"/>
  <c r="D319" i="1"/>
  <c r="F317" i="1"/>
  <c r="C316" i="1"/>
  <c r="I314" i="1"/>
  <c r="H313" i="1"/>
  <c r="F312" i="1"/>
  <c r="E311" i="1"/>
  <c r="D310" i="1"/>
  <c r="C309" i="1"/>
  <c r="J307" i="1"/>
  <c r="I306" i="1"/>
  <c r="H305" i="1"/>
  <c r="F304" i="1"/>
  <c r="E303" i="1"/>
  <c r="D302" i="1"/>
  <c r="C301" i="1"/>
  <c r="J299" i="1"/>
  <c r="I298" i="1"/>
  <c r="H297" i="1"/>
  <c r="F296" i="1"/>
  <c r="E295" i="1"/>
  <c r="D294" i="1"/>
  <c r="C293" i="1"/>
  <c r="J291" i="1"/>
  <c r="I290" i="1"/>
  <c r="H289" i="1"/>
  <c r="F288" i="1"/>
  <c r="E287" i="1"/>
  <c r="D286" i="1"/>
  <c r="C285" i="1"/>
  <c r="J283" i="1"/>
  <c r="I282" i="1"/>
  <c r="H281" i="1"/>
  <c r="F280" i="1"/>
  <c r="E279" i="1"/>
  <c r="D278" i="1"/>
  <c r="C277" i="1"/>
  <c r="J275" i="1"/>
  <c r="H376" i="1"/>
  <c r="C375" i="1"/>
  <c r="C373" i="1"/>
  <c r="D371" i="1"/>
  <c r="F369" i="1"/>
  <c r="F367" i="1"/>
  <c r="J365" i="1"/>
  <c r="J363" i="1"/>
  <c r="C362" i="1"/>
  <c r="E360" i="1"/>
  <c r="F358" i="1"/>
  <c r="C357" i="1"/>
  <c r="H355" i="1"/>
  <c r="J353" i="1"/>
  <c r="F352" i="1"/>
  <c r="C351" i="1"/>
  <c r="E349" i="1"/>
  <c r="J347" i="1"/>
  <c r="F346" i="1"/>
  <c r="I344" i="1"/>
  <c r="E343" i="1"/>
  <c r="J341" i="1"/>
  <c r="D340" i="1"/>
  <c r="I338" i="1"/>
  <c r="E337" i="1"/>
  <c r="H335" i="1"/>
  <c r="D334" i="1"/>
  <c r="I332" i="1"/>
  <c r="C331" i="1"/>
  <c r="H329" i="1"/>
  <c r="D328" i="1"/>
  <c r="F326" i="1"/>
  <c r="C325" i="1"/>
  <c r="H323" i="1"/>
  <c r="J321" i="1"/>
  <c r="F320" i="1"/>
  <c r="C319" i="1"/>
  <c r="E317" i="1"/>
  <c r="J315" i="1"/>
  <c r="H314" i="1"/>
  <c r="F313" i="1"/>
  <c r="E312" i="1"/>
  <c r="D311" i="1"/>
  <c r="C310" i="1"/>
  <c r="J308" i="1"/>
  <c r="I307" i="1"/>
  <c r="H306" i="1"/>
  <c r="F305" i="1"/>
  <c r="E304" i="1"/>
  <c r="D303" i="1"/>
  <c r="C302" i="1"/>
  <c r="J300" i="1"/>
  <c r="I299" i="1"/>
  <c r="H298" i="1"/>
  <c r="F297" i="1"/>
  <c r="E296" i="1"/>
  <c r="D295" i="1"/>
  <c r="C294" i="1"/>
  <c r="J292" i="1"/>
  <c r="I291" i="1"/>
  <c r="H290" i="1"/>
  <c r="F289" i="1"/>
  <c r="E288" i="1"/>
  <c r="D287" i="1"/>
  <c r="C286" i="1"/>
  <c r="J284" i="1"/>
  <c r="I283" i="1"/>
  <c r="H282" i="1"/>
  <c r="F281" i="1"/>
  <c r="E280" i="1"/>
  <c r="D279" i="1"/>
  <c r="C278" i="1"/>
  <c r="J276" i="1"/>
  <c r="F376" i="1"/>
  <c r="H374" i="1"/>
  <c r="J372" i="1"/>
  <c r="J370" i="1"/>
  <c r="E369" i="1"/>
  <c r="E367" i="1"/>
  <c r="F365" i="1"/>
  <c r="I363" i="1"/>
  <c r="I361" i="1"/>
  <c r="D360" i="1"/>
  <c r="E358" i="1"/>
  <c r="J356" i="1"/>
  <c r="D355" i="1"/>
  <c r="I353" i="1"/>
  <c r="E352" i="1"/>
  <c r="H350" i="1"/>
  <c r="D349" i="1"/>
  <c r="I347" i="1"/>
  <c r="C346" i="1"/>
  <c r="H344" i="1"/>
  <c r="D343" i="1"/>
  <c r="F341" i="1"/>
  <c r="C340" i="1"/>
  <c r="H338" i="1"/>
  <c r="J336" i="1"/>
  <c r="F335" i="1"/>
  <c r="C334" i="1"/>
  <c r="E332" i="1"/>
  <c r="J330" i="1"/>
  <c r="F329" i="1"/>
  <c r="I327" i="1"/>
  <c r="E326" i="1"/>
  <c r="J324" i="1"/>
  <c r="D323" i="1"/>
  <c r="I321" i="1"/>
  <c r="E320" i="1"/>
  <c r="H318" i="1"/>
  <c r="D317" i="1"/>
  <c r="I315" i="1"/>
  <c r="F314" i="1"/>
  <c r="E313" i="1"/>
  <c r="D312" i="1"/>
  <c r="C311" i="1"/>
  <c r="J309" i="1"/>
  <c r="I308" i="1"/>
  <c r="H307" i="1"/>
  <c r="F306" i="1"/>
  <c r="E305" i="1"/>
  <c r="D304" i="1"/>
  <c r="C303" i="1"/>
  <c r="J301" i="1"/>
  <c r="I300" i="1"/>
  <c r="H299" i="1"/>
  <c r="F298" i="1"/>
  <c r="E297" i="1"/>
  <c r="D296" i="1"/>
  <c r="C295" i="1"/>
  <c r="J293" i="1"/>
  <c r="I292" i="1"/>
  <c r="H291" i="1"/>
  <c r="F290" i="1"/>
  <c r="E289" i="1"/>
  <c r="D288" i="1"/>
  <c r="C287" i="1"/>
  <c r="J285" i="1"/>
  <c r="I284" i="1"/>
  <c r="H283" i="1"/>
  <c r="F282" i="1"/>
  <c r="E281" i="1"/>
  <c r="D280" i="1"/>
  <c r="C279" i="1"/>
  <c r="J277" i="1"/>
  <c r="I276" i="1"/>
  <c r="E376" i="1"/>
  <c r="E13" i="2" s="1"/>
  <c r="E374" i="1"/>
  <c r="I372" i="1"/>
  <c r="I370" i="1"/>
  <c r="J368" i="1"/>
  <c r="D367" i="1"/>
  <c r="D365" i="1"/>
  <c r="H363" i="1"/>
  <c r="H361" i="1"/>
  <c r="I359" i="1"/>
  <c r="D358" i="1"/>
  <c r="I356" i="1"/>
  <c r="C355" i="1"/>
  <c r="H353" i="1"/>
  <c r="D352" i="1"/>
  <c r="F350" i="1"/>
  <c r="C349" i="1"/>
  <c r="H347" i="1"/>
  <c r="J345" i="1"/>
  <c r="F344" i="1"/>
  <c r="C343" i="1"/>
  <c r="E341" i="1"/>
  <c r="J339" i="1"/>
  <c r="F338" i="1"/>
  <c r="I336" i="1"/>
  <c r="E335" i="1"/>
  <c r="J333" i="1"/>
  <c r="D332" i="1"/>
  <c r="I330" i="1"/>
  <c r="E329" i="1"/>
  <c r="H327" i="1"/>
  <c r="D326" i="1"/>
  <c r="I324" i="1"/>
  <c r="C323" i="1"/>
  <c r="H321" i="1"/>
  <c r="D320" i="1"/>
  <c r="F318" i="1"/>
  <c r="C317" i="1"/>
  <c r="H315" i="1"/>
  <c r="E314" i="1"/>
  <c r="D313" i="1"/>
  <c r="C312" i="1"/>
  <c r="J310" i="1"/>
  <c r="I309" i="1"/>
  <c r="H308" i="1"/>
  <c r="F307" i="1"/>
  <c r="E306" i="1"/>
  <c r="D305" i="1"/>
  <c r="C304" i="1"/>
  <c r="J302" i="1"/>
  <c r="I301" i="1"/>
  <c r="H300" i="1"/>
  <c r="F299" i="1"/>
  <c r="E298" i="1"/>
  <c r="D297" i="1"/>
  <c r="C296" i="1"/>
  <c r="J294" i="1"/>
  <c r="I293" i="1"/>
  <c r="H292" i="1"/>
  <c r="F291" i="1"/>
  <c r="E290" i="1"/>
  <c r="D289" i="1"/>
  <c r="C288" i="1"/>
  <c r="J286" i="1"/>
  <c r="I285" i="1"/>
  <c r="H284" i="1"/>
  <c r="F283" i="1"/>
  <c r="E282" i="1"/>
  <c r="D281" i="1"/>
  <c r="C280" i="1"/>
  <c r="J278" i="1"/>
  <c r="I277" i="1"/>
  <c r="H276" i="1"/>
  <c r="I375" i="1"/>
  <c r="C374" i="1"/>
  <c r="C372" i="1"/>
  <c r="F370" i="1"/>
  <c r="F368" i="1"/>
  <c r="H366" i="1"/>
  <c r="J364" i="1"/>
  <c r="J362" i="1"/>
  <c r="E361" i="1"/>
  <c r="E359" i="1"/>
  <c r="J357" i="1"/>
  <c r="D356" i="1"/>
  <c r="I354" i="1"/>
  <c r="E353" i="1"/>
  <c r="H351" i="1"/>
  <c r="D350" i="1"/>
  <c r="I348" i="1"/>
  <c r="C347" i="1"/>
  <c r="H345" i="1"/>
  <c r="D344" i="1"/>
  <c r="F342" i="1"/>
  <c r="C341" i="1"/>
  <c r="H339" i="1"/>
  <c r="J337" i="1"/>
  <c r="F336" i="1"/>
  <c r="C335" i="1"/>
  <c r="E333" i="1"/>
  <c r="J331" i="1"/>
  <c r="F330" i="1"/>
  <c r="I328" i="1"/>
  <c r="E327" i="1"/>
  <c r="J325" i="1"/>
  <c r="D324" i="1"/>
  <c r="I322" i="1"/>
  <c r="E321" i="1"/>
  <c r="H319" i="1"/>
  <c r="D318" i="1"/>
  <c r="I316" i="1"/>
  <c r="D315" i="1"/>
  <c r="C314" i="1"/>
  <c r="J312" i="1"/>
  <c r="I311" i="1"/>
  <c r="H310" i="1"/>
  <c r="F309" i="1"/>
  <c r="E308" i="1"/>
  <c r="D307" i="1"/>
  <c r="C306" i="1"/>
  <c r="J304" i="1"/>
  <c r="I303" i="1"/>
  <c r="H302" i="1"/>
  <c r="F301" i="1"/>
  <c r="E300" i="1"/>
  <c r="D299" i="1"/>
  <c r="C298" i="1"/>
  <c r="J296" i="1"/>
  <c r="I295" i="1"/>
  <c r="H294" i="1"/>
  <c r="F293" i="1"/>
  <c r="E292" i="1"/>
  <c r="D291" i="1"/>
  <c r="C290" i="1"/>
  <c r="J288" i="1"/>
  <c r="I287" i="1"/>
  <c r="H286" i="1"/>
  <c r="F285" i="1"/>
  <c r="E284" i="1"/>
  <c r="D283" i="1"/>
  <c r="C282" i="1"/>
  <c r="J280" i="1"/>
  <c r="I279" i="1"/>
  <c r="D376" i="1"/>
  <c r="F361" i="1"/>
  <c r="J348" i="1"/>
  <c r="H336" i="1"/>
  <c r="E324" i="1"/>
  <c r="C313" i="1"/>
  <c r="J303" i="1"/>
  <c r="I294" i="1"/>
  <c r="I286" i="1"/>
  <c r="D282" i="1"/>
  <c r="F278" i="1"/>
  <c r="I275" i="1"/>
  <c r="H274" i="1"/>
  <c r="F273" i="1"/>
  <c r="E272" i="1"/>
  <c r="D271" i="1"/>
  <c r="C270" i="1"/>
  <c r="J268" i="1"/>
  <c r="I267" i="1"/>
  <c r="H266" i="1"/>
  <c r="F265" i="1"/>
  <c r="E264" i="1"/>
  <c r="D263" i="1"/>
  <c r="C262" i="1"/>
  <c r="J260" i="1"/>
  <c r="I259" i="1"/>
  <c r="H258" i="1"/>
  <c r="F257" i="1"/>
  <c r="E256" i="1"/>
  <c r="D255" i="1"/>
  <c r="C254" i="1"/>
  <c r="J252" i="1"/>
  <c r="I251" i="1"/>
  <c r="H250" i="1"/>
  <c r="F249" i="1"/>
  <c r="E248" i="1"/>
  <c r="D247" i="1"/>
  <c r="C246" i="1"/>
  <c r="J244" i="1"/>
  <c r="I243" i="1"/>
  <c r="H242" i="1"/>
  <c r="F241" i="1"/>
  <c r="E240" i="1"/>
  <c r="D239" i="1"/>
  <c r="C238" i="1"/>
  <c r="J236" i="1"/>
  <c r="I235" i="1"/>
  <c r="H234" i="1"/>
  <c r="F233" i="1"/>
  <c r="E232" i="1"/>
  <c r="D231" i="1"/>
  <c r="C230" i="1"/>
  <c r="J228" i="1"/>
  <c r="I227" i="1"/>
  <c r="H226" i="1"/>
  <c r="F225" i="1"/>
  <c r="E224" i="1"/>
  <c r="D223" i="1"/>
  <c r="C222" i="1"/>
  <c r="J220" i="1"/>
  <c r="I219" i="1"/>
  <c r="H218" i="1"/>
  <c r="F217" i="1"/>
  <c r="E216" i="1"/>
  <c r="D215" i="1"/>
  <c r="C214" i="1"/>
  <c r="J212" i="1"/>
  <c r="I211" i="1"/>
  <c r="H210" i="1"/>
  <c r="F209" i="1"/>
  <c r="E208" i="1"/>
  <c r="D207" i="1"/>
  <c r="C206" i="1"/>
  <c r="J204" i="1"/>
  <c r="I203" i="1"/>
  <c r="H202" i="1"/>
  <c r="F201" i="1"/>
  <c r="E200" i="1"/>
  <c r="D199" i="1"/>
  <c r="C198" i="1"/>
  <c r="D374" i="1"/>
  <c r="F359" i="1"/>
  <c r="D347" i="1"/>
  <c r="D335" i="1"/>
  <c r="J322" i="1"/>
  <c r="J311" i="1"/>
  <c r="I302" i="1"/>
  <c r="H293" i="1"/>
  <c r="F286" i="1"/>
  <c r="J281" i="1"/>
  <c r="H277" i="1"/>
  <c r="H275" i="1"/>
  <c r="F274" i="1"/>
  <c r="E273" i="1"/>
  <c r="D272" i="1"/>
  <c r="C271" i="1"/>
  <c r="J269" i="1"/>
  <c r="I268" i="1"/>
  <c r="H267" i="1"/>
  <c r="F266" i="1"/>
  <c r="E265" i="1"/>
  <c r="D264" i="1"/>
  <c r="C263" i="1"/>
  <c r="J261" i="1"/>
  <c r="I260" i="1"/>
  <c r="H259" i="1"/>
  <c r="F258" i="1"/>
  <c r="E257" i="1"/>
  <c r="D256" i="1"/>
  <c r="C255" i="1"/>
  <c r="J253" i="1"/>
  <c r="I252" i="1"/>
  <c r="H251" i="1"/>
  <c r="F250" i="1"/>
  <c r="E249" i="1"/>
  <c r="D248" i="1"/>
  <c r="C247" i="1"/>
  <c r="J245" i="1"/>
  <c r="I244" i="1"/>
  <c r="H243" i="1"/>
  <c r="F242" i="1"/>
  <c r="E241" i="1"/>
  <c r="D240" i="1"/>
  <c r="C239" i="1"/>
  <c r="J237" i="1"/>
  <c r="I236" i="1"/>
  <c r="H235" i="1"/>
  <c r="F234" i="1"/>
  <c r="E233" i="1"/>
  <c r="D232" i="1"/>
  <c r="C231" i="1"/>
  <c r="J229" i="1"/>
  <c r="I228" i="1"/>
  <c r="H227" i="1"/>
  <c r="F226" i="1"/>
  <c r="E225" i="1"/>
  <c r="D224" i="1"/>
  <c r="C223" i="1"/>
  <c r="J221" i="1"/>
  <c r="I220" i="1"/>
  <c r="H219" i="1"/>
  <c r="F218" i="1"/>
  <c r="E217" i="1"/>
  <c r="D216" i="1"/>
  <c r="C215" i="1"/>
  <c r="J213" i="1"/>
  <c r="I212" i="1"/>
  <c r="H211" i="1"/>
  <c r="F210" i="1"/>
  <c r="E209" i="1"/>
  <c r="D208" i="1"/>
  <c r="C207" i="1"/>
  <c r="J205" i="1"/>
  <c r="I204" i="1"/>
  <c r="H203" i="1"/>
  <c r="F202" i="1"/>
  <c r="E201" i="1"/>
  <c r="D200" i="1"/>
  <c r="C199" i="1"/>
  <c r="J197" i="1"/>
  <c r="E372" i="1"/>
  <c r="C358" i="1"/>
  <c r="I345" i="1"/>
  <c r="F333" i="1"/>
  <c r="F321" i="1"/>
  <c r="I310" i="1"/>
  <c r="H301" i="1"/>
  <c r="F292" i="1"/>
  <c r="H285" i="1"/>
  <c r="C281" i="1"/>
  <c r="F277" i="1"/>
  <c r="F275" i="1"/>
  <c r="E274" i="1"/>
  <c r="D273" i="1"/>
  <c r="C272" i="1"/>
  <c r="J270" i="1"/>
  <c r="I269" i="1"/>
  <c r="H268" i="1"/>
  <c r="F267" i="1"/>
  <c r="E266" i="1"/>
  <c r="D265" i="1"/>
  <c r="C264" i="1"/>
  <c r="J262" i="1"/>
  <c r="I261" i="1"/>
  <c r="H260" i="1"/>
  <c r="F259" i="1"/>
  <c r="E258" i="1"/>
  <c r="D257" i="1"/>
  <c r="C256" i="1"/>
  <c r="J254" i="1"/>
  <c r="I253" i="1"/>
  <c r="H252" i="1"/>
  <c r="F251" i="1"/>
  <c r="E250" i="1"/>
  <c r="D249" i="1"/>
  <c r="C248" i="1"/>
  <c r="J246" i="1"/>
  <c r="I245" i="1"/>
  <c r="H244" i="1"/>
  <c r="F243" i="1"/>
  <c r="E242" i="1"/>
  <c r="D241" i="1"/>
  <c r="C240" i="1"/>
  <c r="J238" i="1"/>
  <c r="I237" i="1"/>
  <c r="H236" i="1"/>
  <c r="F235" i="1"/>
  <c r="E234" i="1"/>
  <c r="D233" i="1"/>
  <c r="C232" i="1"/>
  <c r="J230" i="1"/>
  <c r="I229" i="1"/>
  <c r="H228" i="1"/>
  <c r="F227" i="1"/>
  <c r="E226" i="1"/>
  <c r="D225" i="1"/>
  <c r="C224" i="1"/>
  <c r="J222" i="1"/>
  <c r="I221" i="1"/>
  <c r="H220" i="1"/>
  <c r="F219" i="1"/>
  <c r="E218" i="1"/>
  <c r="D217" i="1"/>
  <c r="C216" i="1"/>
  <c r="J214" i="1"/>
  <c r="I213" i="1"/>
  <c r="H212" i="1"/>
  <c r="F211" i="1"/>
  <c r="E210" i="1"/>
  <c r="D209" i="1"/>
  <c r="C208" i="1"/>
  <c r="J206" i="1"/>
  <c r="I205" i="1"/>
  <c r="H204" i="1"/>
  <c r="F203" i="1"/>
  <c r="E202" i="1"/>
  <c r="D201" i="1"/>
  <c r="C200" i="1"/>
  <c r="J198" i="1"/>
  <c r="I197" i="1"/>
  <c r="H370" i="1"/>
  <c r="E356" i="1"/>
  <c r="E344" i="1"/>
  <c r="C332" i="1"/>
  <c r="I319" i="1"/>
  <c r="H309" i="1"/>
  <c r="F300" i="1"/>
  <c r="E291" i="1"/>
  <c r="E285" i="1"/>
  <c r="I280" i="1"/>
  <c r="E277" i="1"/>
  <c r="E275" i="1"/>
  <c r="D274" i="1"/>
  <c r="C273" i="1"/>
  <c r="J271" i="1"/>
  <c r="I270" i="1"/>
  <c r="H269" i="1"/>
  <c r="F268" i="1"/>
  <c r="E267" i="1"/>
  <c r="D266" i="1"/>
  <c r="C265" i="1"/>
  <c r="J263" i="1"/>
  <c r="I262" i="1"/>
  <c r="H261" i="1"/>
  <c r="F260" i="1"/>
  <c r="E259" i="1"/>
  <c r="D258" i="1"/>
  <c r="C257" i="1"/>
  <c r="J255" i="1"/>
  <c r="I254" i="1"/>
  <c r="H253" i="1"/>
  <c r="F252" i="1"/>
  <c r="E251" i="1"/>
  <c r="D250" i="1"/>
  <c r="C249" i="1"/>
  <c r="J247" i="1"/>
  <c r="I246" i="1"/>
  <c r="H245" i="1"/>
  <c r="F244" i="1"/>
  <c r="E243" i="1"/>
  <c r="D242" i="1"/>
  <c r="C241" i="1"/>
  <c r="J239" i="1"/>
  <c r="I238" i="1"/>
  <c r="H237" i="1"/>
  <c r="F236" i="1"/>
  <c r="E235" i="1"/>
  <c r="D234" i="1"/>
  <c r="C233" i="1"/>
  <c r="J231" i="1"/>
  <c r="I230" i="1"/>
  <c r="H229" i="1"/>
  <c r="F228" i="1"/>
  <c r="E227" i="1"/>
  <c r="D226" i="1"/>
  <c r="C225" i="1"/>
  <c r="J223" i="1"/>
  <c r="I222" i="1"/>
  <c r="H221" i="1"/>
  <c r="F220" i="1"/>
  <c r="E219" i="1"/>
  <c r="D218" i="1"/>
  <c r="C217" i="1"/>
  <c r="J215" i="1"/>
  <c r="I214" i="1"/>
  <c r="H213" i="1"/>
  <c r="F212" i="1"/>
  <c r="E211" i="1"/>
  <c r="D210" i="1"/>
  <c r="C209" i="1"/>
  <c r="J207" i="1"/>
  <c r="I206" i="1"/>
  <c r="H205" i="1"/>
  <c r="F204" i="1"/>
  <c r="E203" i="1"/>
  <c r="D202" i="1"/>
  <c r="C201" i="1"/>
  <c r="J199" i="1"/>
  <c r="I198" i="1"/>
  <c r="H197" i="1"/>
  <c r="H368" i="1"/>
  <c r="J354" i="1"/>
  <c r="H342" i="1"/>
  <c r="H330" i="1"/>
  <c r="E318" i="1"/>
  <c r="F308" i="1"/>
  <c r="E299" i="1"/>
  <c r="D290" i="1"/>
  <c r="F284" i="1"/>
  <c r="J279" i="1"/>
  <c r="F276" i="1"/>
  <c r="D275" i="1"/>
  <c r="C274" i="1"/>
  <c r="J272" i="1"/>
  <c r="I271" i="1"/>
  <c r="H270" i="1"/>
  <c r="F269" i="1"/>
  <c r="E268" i="1"/>
  <c r="D267" i="1"/>
  <c r="C266" i="1"/>
  <c r="J264" i="1"/>
  <c r="I263" i="1"/>
  <c r="H262" i="1"/>
  <c r="F261" i="1"/>
  <c r="E260" i="1"/>
  <c r="D259" i="1"/>
  <c r="C258" i="1"/>
  <c r="J256" i="1"/>
  <c r="I255" i="1"/>
  <c r="H254" i="1"/>
  <c r="F253" i="1"/>
  <c r="E252" i="1"/>
  <c r="D251" i="1"/>
  <c r="C250" i="1"/>
  <c r="J248" i="1"/>
  <c r="I247" i="1"/>
  <c r="H246" i="1"/>
  <c r="F245" i="1"/>
  <c r="E244" i="1"/>
  <c r="D243" i="1"/>
  <c r="C242" i="1"/>
  <c r="J240" i="1"/>
  <c r="I239" i="1"/>
  <c r="H238" i="1"/>
  <c r="F237" i="1"/>
  <c r="E236" i="1"/>
  <c r="D235" i="1"/>
  <c r="C234" i="1"/>
  <c r="J232" i="1"/>
  <c r="I231" i="1"/>
  <c r="H230" i="1"/>
  <c r="F229" i="1"/>
  <c r="E228" i="1"/>
  <c r="D227" i="1"/>
  <c r="C226" i="1"/>
  <c r="J224" i="1"/>
  <c r="I223" i="1"/>
  <c r="H222" i="1"/>
  <c r="F221" i="1"/>
  <c r="E220" i="1"/>
  <c r="D219" i="1"/>
  <c r="C218" i="1"/>
  <c r="J216" i="1"/>
  <c r="I215" i="1"/>
  <c r="H214" i="1"/>
  <c r="F213" i="1"/>
  <c r="E212" i="1"/>
  <c r="D211" i="1"/>
  <c r="C210" i="1"/>
  <c r="J208" i="1"/>
  <c r="I207" i="1"/>
  <c r="H206" i="1"/>
  <c r="C367" i="1"/>
  <c r="F353" i="1"/>
  <c r="D341" i="1"/>
  <c r="J328" i="1"/>
  <c r="J316" i="1"/>
  <c r="E307" i="1"/>
  <c r="D298" i="1"/>
  <c r="C289" i="1"/>
  <c r="D284" i="1"/>
  <c r="H279" i="1"/>
  <c r="E276" i="1"/>
  <c r="C275" i="1"/>
  <c r="J273" i="1"/>
  <c r="I272" i="1"/>
  <c r="H271" i="1"/>
  <c r="F270" i="1"/>
  <c r="E269" i="1"/>
  <c r="D268" i="1"/>
  <c r="C267" i="1"/>
  <c r="J265" i="1"/>
  <c r="I264" i="1"/>
  <c r="H263" i="1"/>
  <c r="F262" i="1"/>
  <c r="E261" i="1"/>
  <c r="D260" i="1"/>
  <c r="C259" i="1"/>
  <c r="J257" i="1"/>
  <c r="I256" i="1"/>
  <c r="H255" i="1"/>
  <c r="F254" i="1"/>
  <c r="E253" i="1"/>
  <c r="D252" i="1"/>
  <c r="C251" i="1"/>
  <c r="J249" i="1"/>
  <c r="I248" i="1"/>
  <c r="H247" i="1"/>
  <c r="F246" i="1"/>
  <c r="E245" i="1"/>
  <c r="D244" i="1"/>
  <c r="C243" i="1"/>
  <c r="J241" i="1"/>
  <c r="I240" i="1"/>
  <c r="H239" i="1"/>
  <c r="F238" i="1"/>
  <c r="E237" i="1"/>
  <c r="D236" i="1"/>
  <c r="C235" i="1"/>
  <c r="J233" i="1"/>
  <c r="I232" i="1"/>
  <c r="H231" i="1"/>
  <c r="F230" i="1"/>
  <c r="E229" i="1"/>
  <c r="D228" i="1"/>
  <c r="C227" i="1"/>
  <c r="J225" i="1"/>
  <c r="I224" i="1"/>
  <c r="H223" i="1"/>
  <c r="F222" i="1"/>
  <c r="E221" i="1"/>
  <c r="D220" i="1"/>
  <c r="C219" i="1"/>
  <c r="J217" i="1"/>
  <c r="I216" i="1"/>
  <c r="H215" i="1"/>
  <c r="F214" i="1"/>
  <c r="E213" i="1"/>
  <c r="D212" i="1"/>
  <c r="C211" i="1"/>
  <c r="J209" i="1"/>
  <c r="I208" i="1"/>
  <c r="H207" i="1"/>
  <c r="F206" i="1"/>
  <c r="E205" i="1"/>
  <c r="D204" i="1"/>
  <c r="C203" i="1"/>
  <c r="J201" i="1"/>
  <c r="I200" i="1"/>
  <c r="H199" i="1"/>
  <c r="F198" i="1"/>
  <c r="E197" i="1"/>
  <c r="D363" i="1"/>
  <c r="E350" i="1"/>
  <c r="C338" i="1"/>
  <c r="C326" i="1"/>
  <c r="D314" i="1"/>
  <c r="C305" i="1"/>
  <c r="J295" i="1"/>
  <c r="H287" i="1"/>
  <c r="C283" i="1"/>
  <c r="H278" i="1"/>
  <c r="C276" i="1"/>
  <c r="I274" i="1"/>
  <c r="H273" i="1"/>
  <c r="F272" i="1"/>
  <c r="E271" i="1"/>
  <c r="D270" i="1"/>
  <c r="C269" i="1"/>
  <c r="J267" i="1"/>
  <c r="I266" i="1"/>
  <c r="H265" i="1"/>
  <c r="F264" i="1"/>
  <c r="E263" i="1"/>
  <c r="D262" i="1"/>
  <c r="C261" i="1"/>
  <c r="J259" i="1"/>
  <c r="I258" i="1"/>
  <c r="H257" i="1"/>
  <c r="F256" i="1"/>
  <c r="E255" i="1"/>
  <c r="D254" i="1"/>
  <c r="C253" i="1"/>
  <c r="J251" i="1"/>
  <c r="I250" i="1"/>
  <c r="H249" i="1"/>
  <c r="F248" i="1"/>
  <c r="E247" i="1"/>
  <c r="D246" i="1"/>
  <c r="C245" i="1"/>
  <c r="J243" i="1"/>
  <c r="I242" i="1"/>
  <c r="F327" i="1"/>
  <c r="J274" i="1"/>
  <c r="I265" i="1"/>
  <c r="H256" i="1"/>
  <c r="F247" i="1"/>
  <c r="F240" i="1"/>
  <c r="J235" i="1"/>
  <c r="E231" i="1"/>
  <c r="I226" i="1"/>
  <c r="D222" i="1"/>
  <c r="H217" i="1"/>
  <c r="C213" i="1"/>
  <c r="F208" i="1"/>
  <c r="E204" i="1"/>
  <c r="H201" i="1"/>
  <c r="E198" i="1"/>
  <c r="D306" i="1"/>
  <c r="H272" i="1"/>
  <c r="F263" i="1"/>
  <c r="E254" i="1"/>
  <c r="D245" i="1"/>
  <c r="E239" i="1"/>
  <c r="I234" i="1"/>
  <c r="D230" i="1"/>
  <c r="H225" i="1"/>
  <c r="C221" i="1"/>
  <c r="F216" i="1"/>
  <c r="J211" i="1"/>
  <c r="E207" i="1"/>
  <c r="J203" i="1"/>
  <c r="H200" i="1"/>
  <c r="F197" i="1"/>
  <c r="C297" i="1"/>
  <c r="F271" i="1"/>
  <c r="E262" i="1"/>
  <c r="D253" i="1"/>
  <c r="C244" i="1"/>
  <c r="E238" i="1"/>
  <c r="I233" i="1"/>
  <c r="D229" i="1"/>
  <c r="H224" i="1"/>
  <c r="C220" i="1"/>
  <c r="F215" i="1"/>
  <c r="J210" i="1"/>
  <c r="E206" i="1"/>
  <c r="D203" i="1"/>
  <c r="F200" i="1"/>
  <c r="D197" i="1"/>
  <c r="J287" i="1"/>
  <c r="E270" i="1"/>
  <c r="D261" i="1"/>
  <c r="C252" i="1"/>
  <c r="J242" i="1"/>
  <c r="D238" i="1"/>
  <c r="H233" i="1"/>
  <c r="C229" i="1"/>
  <c r="F224" i="1"/>
  <c r="J219" i="1"/>
  <c r="E215" i="1"/>
  <c r="I210" i="1"/>
  <c r="D206" i="1"/>
  <c r="J202" i="1"/>
  <c r="I199" i="1"/>
  <c r="C365" i="1"/>
  <c r="E283" i="1"/>
  <c r="D269" i="1"/>
  <c r="C260" i="1"/>
  <c r="J250" i="1"/>
  <c r="I241" i="1"/>
  <c r="D237" i="1"/>
  <c r="H232" i="1"/>
  <c r="C228" i="1"/>
  <c r="F223" i="1"/>
  <c r="J218" i="1"/>
  <c r="E214" i="1"/>
  <c r="I209" i="1"/>
  <c r="F205" i="1"/>
  <c r="I202" i="1"/>
  <c r="F199" i="1"/>
  <c r="I278" i="1"/>
  <c r="F255" i="1"/>
  <c r="C236" i="1"/>
  <c r="E223" i="1"/>
  <c r="C212" i="1"/>
  <c r="I201" i="1"/>
  <c r="I273" i="1"/>
  <c r="H248" i="1"/>
  <c r="F232" i="1"/>
  <c r="D221" i="1"/>
  <c r="H208" i="1"/>
  <c r="E199" i="1"/>
  <c r="C268" i="1"/>
  <c r="E246" i="1"/>
  <c r="F231" i="1"/>
  <c r="I218" i="1"/>
  <c r="F207" i="1"/>
  <c r="H198" i="1"/>
  <c r="J266" i="1"/>
  <c r="H241" i="1"/>
  <c r="E230" i="1"/>
  <c r="I217" i="1"/>
  <c r="D205" i="1"/>
  <c r="D198" i="1"/>
  <c r="I351" i="1"/>
  <c r="H264" i="1"/>
  <c r="H240" i="1"/>
  <c r="J227" i="1"/>
  <c r="H216" i="1"/>
  <c r="C205" i="1"/>
  <c r="J226" i="1"/>
  <c r="H209" i="1"/>
  <c r="F239" i="1"/>
  <c r="D276" i="1"/>
  <c r="J200" i="1"/>
  <c r="D213" i="1"/>
  <c r="I249" i="1"/>
  <c r="D214" i="1"/>
  <c r="I257" i="1"/>
  <c r="C10" i="1"/>
  <c r="H194" i="1" s="1"/>
  <c r="E222" i="1"/>
  <c r="J258" i="1"/>
  <c r="C47" i="1" l="1"/>
  <c r="H73" i="1"/>
  <c r="D60" i="3" s="1"/>
  <c r="H91" i="1"/>
  <c r="C118" i="1"/>
  <c r="C41" i="1"/>
  <c r="H17" i="1"/>
  <c r="C64" i="1"/>
  <c r="H128" i="1"/>
  <c r="C91" i="1"/>
  <c r="H54" i="1"/>
  <c r="D41" i="3" s="1"/>
  <c r="H77" i="1"/>
  <c r="H100" i="1"/>
  <c r="C54" i="1"/>
  <c r="H109" i="1"/>
  <c r="C174" i="1"/>
  <c r="C147" i="1"/>
  <c r="C129" i="1"/>
  <c r="C191" i="1"/>
  <c r="H177" i="1"/>
  <c r="C130" i="1"/>
  <c r="H49" i="1"/>
  <c r="C124" i="1"/>
  <c r="C105" i="1"/>
  <c r="H132" i="1"/>
  <c r="C127" i="1"/>
  <c r="H113" i="1"/>
  <c r="H20" i="1"/>
  <c r="C33" i="1"/>
  <c r="H63" i="1"/>
  <c r="C110" i="1"/>
  <c r="H90" i="1"/>
  <c r="H165" i="1"/>
  <c r="C160" i="1"/>
  <c r="C141" i="1"/>
  <c r="C6" i="2"/>
  <c r="C60" i="1"/>
  <c r="C163" i="1"/>
  <c r="H56" i="1"/>
  <c r="H72" i="1"/>
  <c r="H185" i="1"/>
  <c r="C149" i="1"/>
  <c r="H121" i="1"/>
  <c r="H171" i="1"/>
  <c r="C135" i="1"/>
  <c r="C168" i="1"/>
  <c r="H140" i="1"/>
  <c r="H173" i="1"/>
  <c r="C137" i="1"/>
  <c r="H193" i="1"/>
  <c r="H174" i="1"/>
  <c r="C138" i="1"/>
  <c r="H168" i="1"/>
  <c r="H98" i="1"/>
  <c r="C62" i="1"/>
  <c r="H34" i="1"/>
  <c r="H146" i="1"/>
  <c r="C72" i="1"/>
  <c r="H44" i="1"/>
  <c r="C134" i="1"/>
  <c r="H85" i="1"/>
  <c r="C49" i="1"/>
  <c r="C90" i="1"/>
  <c r="H62" i="1"/>
  <c r="C196" i="1"/>
  <c r="C99" i="1"/>
  <c r="H71" i="1"/>
  <c r="C26" i="1"/>
  <c r="C45" i="1"/>
  <c r="C35" i="1"/>
  <c r="H38" i="1"/>
  <c r="H19" i="1"/>
  <c r="C53" i="1"/>
  <c r="C101" i="1"/>
  <c r="C142" i="1"/>
  <c r="C20" i="1"/>
  <c r="H107" i="1"/>
  <c r="H159" i="1"/>
  <c r="C27" i="1"/>
  <c r="H135" i="1"/>
  <c r="C18" i="1"/>
  <c r="H89" i="1"/>
  <c r="H55" i="1"/>
  <c r="H30" i="1"/>
  <c r="H35" i="1"/>
  <c r="C171" i="1"/>
  <c r="C32" i="1"/>
  <c r="C172" i="1"/>
  <c r="H40" i="1"/>
  <c r="C100" i="1"/>
  <c r="C157" i="1"/>
  <c r="H129" i="1"/>
  <c r="H179" i="1"/>
  <c r="C143" i="1"/>
  <c r="H115" i="1"/>
  <c r="C176" i="1"/>
  <c r="H148" i="1"/>
  <c r="H181" i="1"/>
  <c r="C145" i="1"/>
  <c r="H182" i="1"/>
  <c r="C146" i="1"/>
  <c r="H118" i="1"/>
  <c r="C190" i="1"/>
  <c r="H117" i="1"/>
  <c r="H106" i="1"/>
  <c r="C70" i="1"/>
  <c r="H42" i="1"/>
  <c r="H167" i="1"/>
  <c r="C80" i="1"/>
  <c r="H52" i="1"/>
  <c r="C155" i="1"/>
  <c r="H112" i="1"/>
  <c r="H93" i="1"/>
  <c r="C57" i="1"/>
  <c r="C98" i="1"/>
  <c r="H70" i="1"/>
  <c r="C107" i="1"/>
  <c r="H79" i="1"/>
  <c r="H26" i="1"/>
  <c r="H97" i="1"/>
  <c r="C29" i="1"/>
  <c r="C19" i="1"/>
  <c r="H144" i="1"/>
  <c r="C87" i="1"/>
  <c r="H23" i="1"/>
  <c r="H114" i="1"/>
  <c r="C93" i="1"/>
  <c r="H47" i="1"/>
  <c r="H178" i="1"/>
  <c r="C24" i="1"/>
  <c r="H33" i="1"/>
  <c r="C79" i="1"/>
  <c r="C148" i="1"/>
  <c r="H192" i="1"/>
  <c r="C165" i="1"/>
  <c r="H137" i="1"/>
  <c r="H187" i="1"/>
  <c r="C151" i="1"/>
  <c r="H123" i="1"/>
  <c r="C194" i="1"/>
  <c r="C184" i="1"/>
  <c r="H156" i="1"/>
  <c r="C120" i="1"/>
  <c r="H189" i="1"/>
  <c r="C153" i="1"/>
  <c r="H125" i="1"/>
  <c r="H190" i="1"/>
  <c r="C154" i="1"/>
  <c r="H126" i="1"/>
  <c r="H162" i="1"/>
  <c r="C116" i="1"/>
  <c r="C78" i="1"/>
  <c r="H50" i="1"/>
  <c r="C88" i="1"/>
  <c r="H60" i="1"/>
  <c r="H176" i="1"/>
  <c r="H127" i="1"/>
  <c r="H101" i="1"/>
  <c r="C65" i="1"/>
  <c r="H37" i="1"/>
  <c r="C164" i="1"/>
  <c r="C106" i="1"/>
  <c r="H78" i="1"/>
  <c r="C188" i="1"/>
  <c r="C139" i="1"/>
  <c r="H87" i="1"/>
  <c r="H18" i="1"/>
  <c r="C76" i="1"/>
  <c r="H51" i="1"/>
  <c r="C69" i="1"/>
  <c r="C21" i="1"/>
  <c r="H64" i="1"/>
  <c r="H104" i="1"/>
  <c r="C108" i="1"/>
  <c r="C61" i="1"/>
  <c r="H99" i="1"/>
  <c r="H36" i="1"/>
  <c r="C28" i="1"/>
  <c r="H65" i="1"/>
  <c r="C123" i="1"/>
  <c r="H105" i="1"/>
  <c r="H57" i="1"/>
  <c r="H195" i="1"/>
  <c r="C173" i="1"/>
  <c r="H145" i="1"/>
  <c r="C109" i="1"/>
  <c r="C159" i="1"/>
  <c r="H131" i="1"/>
  <c r="C192" i="1"/>
  <c r="H164" i="1"/>
  <c r="C128" i="1"/>
  <c r="C161" i="1"/>
  <c r="H133" i="1"/>
  <c r="C162" i="1"/>
  <c r="H134" i="1"/>
  <c r="H183" i="1"/>
  <c r="C86" i="1"/>
  <c r="H58" i="1"/>
  <c r="C96" i="1"/>
  <c r="H68" i="1"/>
  <c r="C73" i="1"/>
  <c r="H45" i="1"/>
  <c r="H136" i="1"/>
  <c r="C115" i="1"/>
  <c r="H86" i="1"/>
  <c r="H160" i="1"/>
  <c r="H95" i="1"/>
  <c r="C59" i="1"/>
  <c r="C37" i="1"/>
  <c r="H39" i="1"/>
  <c r="C55" i="1"/>
  <c r="C150" i="1"/>
  <c r="H59" i="1"/>
  <c r="H27" i="1"/>
  <c r="H43" i="1"/>
  <c r="H110" i="1"/>
  <c r="H24" i="1"/>
  <c r="C34" i="1"/>
  <c r="C92" i="1"/>
  <c r="H119" i="1"/>
  <c r="C42" i="1"/>
  <c r="H83" i="1"/>
  <c r="C112" i="1"/>
  <c r="D17" i="1"/>
  <c r="C36" i="1"/>
  <c r="C50" i="1"/>
  <c r="H96" i="1"/>
  <c r="H80" i="1"/>
  <c r="C85" i="1"/>
  <c r="C193" i="1"/>
  <c r="C181" i="1"/>
  <c r="H153" i="1"/>
  <c r="C117" i="1"/>
  <c r="C167" i="1"/>
  <c r="H139" i="1"/>
  <c r="H172" i="1"/>
  <c r="C136" i="1"/>
  <c r="C169" i="1"/>
  <c r="H141" i="1"/>
  <c r="C170" i="1"/>
  <c r="H142" i="1"/>
  <c r="C132" i="1"/>
  <c r="C113" i="1"/>
  <c r="C94" i="1"/>
  <c r="H66" i="1"/>
  <c r="C114" i="1"/>
  <c r="C104" i="1"/>
  <c r="H76" i="1"/>
  <c r="C40" i="1"/>
  <c r="H170" i="1"/>
  <c r="H108" i="1"/>
  <c r="C81" i="1"/>
  <c r="H53" i="1"/>
  <c r="C158" i="1"/>
  <c r="H94" i="1"/>
  <c r="C58" i="1"/>
  <c r="C182" i="1"/>
  <c r="H103" i="1"/>
  <c r="C67" i="1"/>
  <c r="C63" i="1"/>
  <c r="C30" i="1"/>
  <c r="H41" i="1"/>
  <c r="H22" i="1"/>
  <c r="C25" i="1"/>
  <c r="C84" i="1"/>
  <c r="H32" i="1"/>
  <c r="H88" i="1"/>
  <c r="C71" i="1"/>
  <c r="H31" i="1"/>
  <c r="C44" i="1"/>
  <c r="H111" i="1"/>
  <c r="H120" i="1"/>
  <c r="C31" i="1"/>
  <c r="H122" i="1"/>
  <c r="C95" i="1"/>
  <c r="C77" i="1"/>
  <c r="C68" i="1"/>
  <c r="H138" i="1"/>
  <c r="C52" i="1"/>
  <c r="H75" i="1"/>
  <c r="C187" i="1"/>
  <c r="C189" i="1"/>
  <c r="H161" i="1"/>
  <c r="C125" i="1"/>
  <c r="C175" i="1"/>
  <c r="H147" i="1"/>
  <c r="H180" i="1"/>
  <c r="C144" i="1"/>
  <c r="H116" i="1"/>
  <c r="C177" i="1"/>
  <c r="H149" i="1"/>
  <c r="C178" i="1"/>
  <c r="H150" i="1"/>
  <c r="C102" i="1"/>
  <c r="H74" i="1"/>
  <c r="C38" i="1"/>
  <c r="C180" i="1"/>
  <c r="C131" i="1"/>
  <c r="H84" i="1"/>
  <c r="C48" i="1"/>
  <c r="H191" i="1"/>
  <c r="C89" i="1"/>
  <c r="H61" i="1"/>
  <c r="C179" i="1"/>
  <c r="H130" i="1"/>
  <c r="H102" i="1"/>
  <c r="C66" i="1"/>
  <c r="H154" i="1"/>
  <c r="C75" i="1"/>
  <c r="C22" i="1"/>
  <c r="C166" i="1"/>
  <c r="H29" i="1"/>
  <c r="H67" i="1"/>
  <c r="C51" i="1"/>
  <c r="H21" i="1"/>
  <c r="C43" i="1"/>
  <c r="H143" i="1"/>
  <c r="H81" i="1"/>
  <c r="C156" i="1"/>
  <c r="H48" i="1"/>
  <c r="H186" i="1"/>
  <c r="H28" i="1"/>
  <c r="C103" i="1"/>
  <c r="C39" i="1"/>
  <c r="H46" i="1"/>
  <c r="H196" i="1"/>
  <c r="C195" i="1"/>
  <c r="H169" i="1"/>
  <c r="C133" i="1"/>
  <c r="C183" i="1"/>
  <c r="H155" i="1"/>
  <c r="C119" i="1"/>
  <c r="H188" i="1"/>
  <c r="C152" i="1"/>
  <c r="H124" i="1"/>
  <c r="C185" i="1"/>
  <c r="H157" i="1"/>
  <c r="C121" i="1"/>
  <c r="C186" i="1"/>
  <c r="H158" i="1"/>
  <c r="C122" i="1"/>
  <c r="C126" i="1"/>
  <c r="H82" i="1"/>
  <c r="C46" i="1"/>
  <c r="H152" i="1"/>
  <c r="H92" i="1"/>
  <c r="C56" i="1"/>
  <c r="C140" i="1"/>
  <c r="C97" i="1"/>
  <c r="H69" i="1"/>
  <c r="H151" i="1"/>
  <c r="C111" i="1"/>
  <c r="C74" i="1"/>
  <c r="H175" i="1"/>
  <c r="C83" i="1"/>
  <c r="H25" i="1"/>
  <c r="H184" i="1"/>
  <c r="C23" i="1"/>
  <c r="H166" i="1"/>
  <c r="C82" i="1"/>
  <c r="H163" i="1"/>
  <c r="C17" i="1"/>
  <c r="F17" i="1" s="1"/>
  <c r="D4" i="3" l="1"/>
  <c r="D12" i="2"/>
  <c r="I17" i="1"/>
  <c r="J17" i="1" s="1"/>
  <c r="I18" i="1" s="1"/>
  <c r="J377" i="1"/>
  <c r="E4" i="3"/>
  <c r="F18" i="1"/>
  <c r="D18" i="1"/>
  <c r="E18" i="1" s="1"/>
  <c r="C5" i="3" s="1"/>
  <c r="D23" i="3"/>
  <c r="D38" i="3"/>
  <c r="D37" i="3"/>
  <c r="D58" i="3"/>
  <c r="D31" i="3"/>
  <c r="D35" i="3"/>
  <c r="D16" i="3"/>
  <c r="D62" i="3"/>
  <c r="D63" i="3"/>
  <c r="D55" i="3"/>
  <c r="D24" i="3"/>
  <c r="D34" i="3"/>
  <c r="D27" i="3"/>
  <c r="D50" i="3"/>
  <c r="D15" i="3"/>
  <c r="D7" i="3"/>
  <c r="D48" i="3"/>
  <c r="D61" i="3"/>
  <c r="D9" i="3"/>
  <c r="D30" i="3"/>
  <c r="D5" i="3"/>
  <c r="D13" i="3"/>
  <c r="D42" i="3"/>
  <c r="D11" i="3"/>
  <c r="D28" i="3"/>
  <c r="D14" i="3"/>
  <c r="D45" i="3"/>
  <c r="D44" i="3"/>
  <c r="D6" i="3"/>
  <c r="D49" i="3"/>
  <c r="D21" i="3"/>
  <c r="D59" i="3"/>
  <c r="C377" i="1"/>
  <c r="E17" i="1"/>
  <c r="C12" i="2" s="1"/>
  <c r="D29" i="3"/>
  <c r="D33" i="3"/>
  <c r="D18" i="3"/>
  <c r="D40" i="3"/>
  <c r="D53" i="3"/>
  <c r="D46" i="3"/>
  <c r="D10" i="3"/>
  <c r="D39" i="3"/>
  <c r="D25" i="3"/>
  <c r="D43" i="3"/>
  <c r="D32" i="3"/>
  <c r="D54" i="3"/>
  <c r="D12" i="3"/>
  <c r="D51" i="3"/>
  <c r="D22" i="3"/>
  <c r="D36" i="3"/>
  <c r="D19" i="3"/>
  <c r="D26" i="3"/>
  <c r="D56" i="3"/>
  <c r="D8" i="3"/>
  <c r="D52" i="3"/>
  <c r="D47" i="3"/>
  <c r="D20" i="3"/>
  <c r="D57" i="3"/>
  <c r="D17" i="3"/>
  <c r="E12" i="2" l="1"/>
  <c r="D15" i="2"/>
  <c r="D14" i="2"/>
  <c r="F4" i="3"/>
  <c r="J18" i="1"/>
  <c r="C4" i="3"/>
  <c r="E5" i="3"/>
  <c r="D19" i="1"/>
  <c r="F19" i="1"/>
  <c r="E6" i="3" l="1"/>
  <c r="D20" i="1"/>
  <c r="E20" i="1" s="1"/>
  <c r="C7" i="3" s="1"/>
  <c r="F20" i="1"/>
  <c r="E19" i="1"/>
  <c r="F5" i="3"/>
  <c r="I19" i="1"/>
  <c r="C6" i="3" l="1"/>
  <c r="J19" i="1"/>
  <c r="E7" i="3"/>
  <c r="D21" i="1"/>
  <c r="F21" i="1"/>
  <c r="F6" i="3" l="1"/>
  <c r="I20" i="1"/>
  <c r="J20" i="1" s="1"/>
  <c r="E8" i="3"/>
  <c r="D22" i="1"/>
  <c r="E22" i="1" s="1"/>
  <c r="C9" i="3" s="1"/>
  <c r="F22" i="1"/>
  <c r="E21" i="1"/>
  <c r="F7" i="3" l="1"/>
  <c r="I21" i="1"/>
  <c r="J21" i="1" s="1"/>
  <c r="E9" i="3"/>
  <c r="F23" i="1"/>
  <c r="D23" i="1"/>
  <c r="E23" i="1" s="1"/>
  <c r="C10" i="3" s="1"/>
  <c r="C8" i="3"/>
  <c r="F8" i="3" l="1"/>
  <c r="I22" i="1"/>
  <c r="J22" i="1" s="1"/>
  <c r="E10" i="3"/>
  <c r="D24" i="1"/>
  <c r="E24" i="1" s="1"/>
  <c r="F24" i="1"/>
  <c r="F9" i="3" l="1"/>
  <c r="I23" i="1"/>
  <c r="J23" i="1" s="1"/>
  <c r="E11" i="3"/>
  <c r="F25" i="1"/>
  <c r="D25" i="1"/>
  <c r="E25" i="1" s="1"/>
  <c r="C12" i="3" s="1"/>
  <c r="C11" i="3"/>
  <c r="F10" i="3" l="1"/>
  <c r="I24" i="1"/>
  <c r="J24" i="1" s="1"/>
  <c r="E12" i="3"/>
  <c r="F26" i="1"/>
  <c r="D26" i="1"/>
  <c r="E26" i="1" s="1"/>
  <c r="F11" i="3" l="1"/>
  <c r="I25" i="1"/>
  <c r="J25" i="1" s="1"/>
  <c r="E13" i="3"/>
  <c r="D27" i="1"/>
  <c r="E27" i="1" s="1"/>
  <c r="C14" i="3" s="1"/>
  <c r="F27" i="1"/>
  <c r="C13" i="3"/>
  <c r="F12" i="3" l="1"/>
  <c r="I26" i="1"/>
  <c r="J26" i="1" s="1"/>
  <c r="E14" i="3"/>
  <c r="D28" i="1"/>
  <c r="E28" i="1" s="1"/>
  <c r="C15" i="3" s="1"/>
  <c r="F28" i="1"/>
  <c r="F13" i="3" l="1"/>
  <c r="I27" i="1"/>
  <c r="J27" i="1" s="1"/>
  <c r="E15" i="3"/>
  <c r="F29" i="1"/>
  <c r="D29" i="1"/>
  <c r="E29" i="1" s="1"/>
  <c r="C16" i="3" s="1"/>
  <c r="F14" i="3" l="1"/>
  <c r="I28" i="1"/>
  <c r="J28" i="1" s="1"/>
  <c r="E16" i="3"/>
  <c r="D30" i="1"/>
  <c r="E30" i="1" s="1"/>
  <c r="C17" i="3" s="1"/>
  <c r="F30" i="1"/>
  <c r="F15" i="3" l="1"/>
  <c r="I29" i="1"/>
  <c r="J29" i="1" s="1"/>
  <c r="E17" i="3"/>
  <c r="F31" i="1"/>
  <c r="D31" i="1"/>
  <c r="E31" i="1" s="1"/>
  <c r="C18" i="3" s="1"/>
  <c r="F16" i="3" l="1"/>
  <c r="I30" i="1"/>
  <c r="J30" i="1" s="1"/>
  <c r="E18" i="3"/>
  <c r="D32" i="1"/>
  <c r="E32" i="1" s="1"/>
  <c r="C19" i="3" s="1"/>
  <c r="F32" i="1"/>
  <c r="F17" i="3" l="1"/>
  <c r="I31" i="1"/>
  <c r="J31" i="1" s="1"/>
  <c r="E19" i="3"/>
  <c r="F33" i="1"/>
  <c r="D33" i="1"/>
  <c r="E33" i="1" s="1"/>
  <c r="C20" i="3" s="1"/>
  <c r="F18" i="3" l="1"/>
  <c r="I32" i="1"/>
  <c r="J32" i="1" s="1"/>
  <c r="E20" i="3"/>
  <c r="D34" i="1"/>
  <c r="E34" i="1" s="1"/>
  <c r="C21" i="3" s="1"/>
  <c r="F34" i="1"/>
  <c r="F19" i="3" l="1"/>
  <c r="I33" i="1"/>
  <c r="J33" i="1" s="1"/>
  <c r="E21" i="3"/>
  <c r="D35" i="1"/>
  <c r="E35" i="1" s="1"/>
  <c r="C22" i="3" s="1"/>
  <c r="F35" i="1"/>
  <c r="E22" i="3" l="1"/>
  <c r="D36" i="1"/>
  <c r="E36" i="1" s="1"/>
  <c r="C23" i="3" s="1"/>
  <c r="F36" i="1"/>
  <c r="F20" i="3"/>
  <c r="I34" i="1"/>
  <c r="J34" i="1" s="1"/>
  <c r="F21" i="3" l="1"/>
  <c r="I35" i="1"/>
  <c r="J35" i="1" s="1"/>
  <c r="E23" i="3"/>
  <c r="D37" i="1"/>
  <c r="E37" i="1" s="1"/>
  <c r="C24" i="3" s="1"/>
  <c r="F37" i="1"/>
  <c r="F22" i="3" l="1"/>
  <c r="I36" i="1"/>
  <c r="J36" i="1" s="1"/>
  <c r="E24" i="3"/>
  <c r="D38" i="1"/>
  <c r="E38" i="1" s="1"/>
  <c r="C25" i="3" s="1"/>
  <c r="F38" i="1"/>
  <c r="F23" i="3" l="1"/>
  <c r="I37" i="1"/>
  <c r="J37" i="1" s="1"/>
  <c r="E25" i="3"/>
  <c r="F39" i="1"/>
  <c r="D39" i="1"/>
  <c r="E39" i="1" s="1"/>
  <c r="C26" i="3" s="1"/>
  <c r="F24" i="3" l="1"/>
  <c r="I38" i="1"/>
  <c r="J38" i="1" s="1"/>
  <c r="E26" i="3"/>
  <c r="F40" i="1"/>
  <c r="D40" i="1"/>
  <c r="E40" i="1" s="1"/>
  <c r="C27" i="3" s="1"/>
  <c r="F25" i="3" l="1"/>
  <c r="I39" i="1"/>
  <c r="J39" i="1" s="1"/>
  <c r="E27" i="3"/>
  <c r="F41" i="1"/>
  <c r="D41" i="1"/>
  <c r="E41" i="1" s="1"/>
  <c r="C28" i="3" s="1"/>
  <c r="F26" i="3" l="1"/>
  <c r="I40" i="1"/>
  <c r="J40" i="1" s="1"/>
  <c r="E28" i="3"/>
  <c r="F42" i="1"/>
  <c r="D42" i="1"/>
  <c r="E42" i="1" s="1"/>
  <c r="C29" i="3" s="1"/>
  <c r="F27" i="3" l="1"/>
  <c r="I41" i="1"/>
  <c r="J41" i="1" s="1"/>
  <c r="E29" i="3"/>
  <c r="F43" i="1"/>
  <c r="D43" i="1"/>
  <c r="E43" i="1" s="1"/>
  <c r="C30" i="3" s="1"/>
  <c r="F28" i="3" l="1"/>
  <c r="I42" i="1"/>
  <c r="J42" i="1" s="1"/>
  <c r="E30" i="3"/>
  <c r="D44" i="1"/>
  <c r="E44" i="1" s="1"/>
  <c r="C31" i="3" s="1"/>
  <c r="F44" i="1"/>
  <c r="F29" i="3" l="1"/>
  <c r="I43" i="1"/>
  <c r="J43" i="1" s="1"/>
  <c r="E31" i="3"/>
  <c r="F45" i="1"/>
  <c r="D45" i="1"/>
  <c r="E45" i="1" s="1"/>
  <c r="C32" i="3" s="1"/>
  <c r="E32" i="3" l="1"/>
  <c r="F46" i="1"/>
  <c r="D46" i="1"/>
  <c r="E46" i="1" s="1"/>
  <c r="C33" i="3" s="1"/>
  <c r="F30" i="3"/>
  <c r="I44" i="1"/>
  <c r="J44" i="1" s="1"/>
  <c r="F31" i="3" l="1"/>
  <c r="I45" i="1"/>
  <c r="J45" i="1" s="1"/>
  <c r="E33" i="3"/>
  <c r="F47" i="1"/>
  <c r="D47" i="1"/>
  <c r="E47" i="1" s="1"/>
  <c r="C34" i="3" s="1"/>
  <c r="F32" i="3" l="1"/>
  <c r="I46" i="1"/>
  <c r="J46" i="1" s="1"/>
  <c r="E34" i="3"/>
  <c r="F48" i="1"/>
  <c r="D48" i="1"/>
  <c r="E48" i="1" s="1"/>
  <c r="C35" i="3" s="1"/>
  <c r="E35" i="3" l="1"/>
  <c r="F49" i="1"/>
  <c r="D49" i="1"/>
  <c r="E49" i="1" s="1"/>
  <c r="C36" i="3" s="1"/>
  <c r="F33" i="3"/>
  <c r="I47" i="1"/>
  <c r="J47" i="1" s="1"/>
  <c r="F34" i="3" l="1"/>
  <c r="I48" i="1"/>
  <c r="J48" i="1" s="1"/>
  <c r="E36" i="3"/>
  <c r="F50" i="1"/>
  <c r="D50" i="1"/>
  <c r="E50" i="1" s="1"/>
  <c r="C37" i="3" s="1"/>
  <c r="E37" i="3" l="1"/>
  <c r="D51" i="1"/>
  <c r="E51" i="1" s="1"/>
  <c r="C38" i="3" s="1"/>
  <c r="F51" i="1"/>
  <c r="F35" i="3"/>
  <c r="I49" i="1"/>
  <c r="J49" i="1" s="1"/>
  <c r="F36" i="3" l="1"/>
  <c r="I50" i="1"/>
  <c r="J50" i="1" s="1"/>
  <c r="E38" i="3"/>
  <c r="D52" i="1"/>
  <c r="E52" i="1" s="1"/>
  <c r="C39" i="3" s="1"/>
  <c r="F52" i="1"/>
  <c r="F37" i="3" l="1"/>
  <c r="I51" i="1"/>
  <c r="J51" i="1" s="1"/>
  <c r="E39" i="3"/>
  <c r="F53" i="1"/>
  <c r="D53" i="1"/>
  <c r="E53" i="1" s="1"/>
  <c r="C40" i="3" s="1"/>
  <c r="F38" i="3" l="1"/>
  <c r="I52" i="1"/>
  <c r="J52" i="1" s="1"/>
  <c r="E40" i="3"/>
  <c r="F54" i="1"/>
  <c r="D54" i="1"/>
  <c r="E54" i="1" s="1"/>
  <c r="C41" i="3" s="1"/>
  <c r="F39" i="3" l="1"/>
  <c r="I53" i="1"/>
  <c r="J53" i="1" s="1"/>
  <c r="E41" i="3"/>
  <c r="D55" i="1"/>
  <c r="E55" i="1" s="1"/>
  <c r="C42" i="3" s="1"/>
  <c r="F55" i="1"/>
  <c r="F40" i="3" l="1"/>
  <c r="I54" i="1"/>
  <c r="J54" i="1" s="1"/>
  <c r="E42" i="3"/>
  <c r="D56" i="1"/>
  <c r="E56" i="1" s="1"/>
  <c r="C43" i="3" s="1"/>
  <c r="F56" i="1"/>
  <c r="F41" i="3" l="1"/>
  <c r="I55" i="1"/>
  <c r="J55" i="1" s="1"/>
  <c r="E43" i="3"/>
  <c r="F57" i="1"/>
  <c r="D57" i="1"/>
  <c r="E57" i="1" s="1"/>
  <c r="C44" i="3" s="1"/>
  <c r="F42" i="3" l="1"/>
  <c r="I56" i="1"/>
  <c r="J56" i="1" s="1"/>
  <c r="E44" i="3"/>
  <c r="D58" i="1"/>
  <c r="E58" i="1" s="1"/>
  <c r="C45" i="3" s="1"/>
  <c r="F58" i="1"/>
  <c r="F43" i="3" l="1"/>
  <c r="I57" i="1"/>
  <c r="J57" i="1" s="1"/>
  <c r="E45" i="3"/>
  <c r="F59" i="1"/>
  <c r="D59" i="1"/>
  <c r="E59" i="1" s="1"/>
  <c r="C46" i="3" s="1"/>
  <c r="F44" i="3" l="1"/>
  <c r="I58" i="1"/>
  <c r="J58" i="1" s="1"/>
  <c r="E46" i="3"/>
  <c r="D60" i="1"/>
  <c r="E60" i="1" s="1"/>
  <c r="C47" i="3" s="1"/>
  <c r="F60" i="1"/>
  <c r="F45" i="3" l="1"/>
  <c r="I59" i="1"/>
  <c r="J59" i="1" s="1"/>
  <c r="E47" i="3"/>
  <c r="F61" i="1"/>
  <c r="D61" i="1"/>
  <c r="E61" i="1" s="1"/>
  <c r="C48" i="3" s="1"/>
  <c r="F46" i="3" l="1"/>
  <c r="I60" i="1"/>
  <c r="J60" i="1" s="1"/>
  <c r="E48" i="3"/>
  <c r="F62" i="1"/>
  <c r="D62" i="1"/>
  <c r="E62" i="1" s="1"/>
  <c r="C49" i="3" s="1"/>
  <c r="F47" i="3" l="1"/>
  <c r="I61" i="1"/>
  <c r="J61" i="1" s="1"/>
  <c r="E49" i="3"/>
  <c r="F63" i="1"/>
  <c r="D63" i="1"/>
  <c r="E63" i="1" s="1"/>
  <c r="C50" i="3" s="1"/>
  <c r="F48" i="3" l="1"/>
  <c r="I62" i="1"/>
  <c r="J62" i="1" s="1"/>
  <c r="E50" i="3"/>
  <c r="F64" i="1"/>
  <c r="D64" i="1"/>
  <c r="E64" i="1" s="1"/>
  <c r="C51" i="3" s="1"/>
  <c r="F49" i="3" l="1"/>
  <c r="I63" i="1"/>
  <c r="J63" i="1" s="1"/>
  <c r="E51" i="3"/>
  <c r="F65" i="1"/>
  <c r="D65" i="1"/>
  <c r="E65" i="1" s="1"/>
  <c r="C52" i="3" s="1"/>
  <c r="F50" i="3" l="1"/>
  <c r="I64" i="1"/>
  <c r="J64" i="1" s="1"/>
  <c r="E52" i="3"/>
  <c r="D66" i="1"/>
  <c r="E66" i="1" s="1"/>
  <c r="C53" i="3" s="1"/>
  <c r="F66" i="1"/>
  <c r="F51" i="3" l="1"/>
  <c r="I65" i="1"/>
  <c r="J65" i="1" s="1"/>
  <c r="E53" i="3"/>
  <c r="F67" i="1"/>
  <c r="D67" i="1"/>
  <c r="E67" i="1" s="1"/>
  <c r="C54" i="3" s="1"/>
  <c r="E54" i="3" l="1"/>
  <c r="D68" i="1"/>
  <c r="E68" i="1" s="1"/>
  <c r="C55" i="3" s="1"/>
  <c r="F68" i="1"/>
  <c r="F52" i="3"/>
  <c r="I66" i="1"/>
  <c r="J66" i="1" s="1"/>
  <c r="F53" i="3" l="1"/>
  <c r="I67" i="1"/>
  <c r="J67" i="1" s="1"/>
  <c r="E55" i="3"/>
  <c r="F69" i="1"/>
  <c r="D69" i="1"/>
  <c r="E69" i="1" s="1"/>
  <c r="C56" i="3" s="1"/>
  <c r="F54" i="3" l="1"/>
  <c r="I68" i="1"/>
  <c r="J68" i="1" s="1"/>
  <c r="E56" i="3"/>
  <c r="D70" i="1"/>
  <c r="E70" i="1" s="1"/>
  <c r="C57" i="3" s="1"/>
  <c r="F70" i="1"/>
  <c r="F55" i="3" l="1"/>
  <c r="I69" i="1"/>
  <c r="J69" i="1" s="1"/>
  <c r="E57" i="3"/>
  <c r="D71" i="1"/>
  <c r="E71" i="1" s="1"/>
  <c r="C58" i="3" s="1"/>
  <c r="F71" i="1"/>
  <c r="F56" i="3" l="1"/>
  <c r="I70" i="1"/>
  <c r="J70" i="1" s="1"/>
  <c r="E58" i="3"/>
  <c r="D72" i="1"/>
  <c r="E72" i="1" s="1"/>
  <c r="C59" i="3" s="1"/>
  <c r="F72" i="1"/>
  <c r="F57" i="3" l="1"/>
  <c r="I71" i="1"/>
  <c r="J71" i="1" s="1"/>
  <c r="E59" i="3"/>
  <c r="F73" i="1"/>
  <c r="D73" i="1"/>
  <c r="E73" i="1" s="1"/>
  <c r="C60" i="3" s="1"/>
  <c r="F58" i="3" l="1"/>
  <c r="I72" i="1"/>
  <c r="J72" i="1" s="1"/>
  <c r="E60" i="3"/>
  <c r="F74" i="1"/>
  <c r="D74" i="1"/>
  <c r="E74" i="1" s="1"/>
  <c r="C61" i="3" s="1"/>
  <c r="E61" i="3" l="1"/>
  <c r="F75" i="1"/>
  <c r="D75" i="1"/>
  <c r="E75" i="1" s="1"/>
  <c r="C62" i="3" s="1"/>
  <c r="F59" i="3"/>
  <c r="I73" i="1"/>
  <c r="J73" i="1" s="1"/>
  <c r="F60" i="3" l="1"/>
  <c r="I74" i="1"/>
  <c r="J74" i="1" s="1"/>
  <c r="E62" i="3"/>
  <c r="F76" i="1"/>
  <c r="D76" i="1"/>
  <c r="E76" i="1" s="1"/>
  <c r="C63" i="3" s="1"/>
  <c r="F61" i="3" l="1"/>
  <c r="I75" i="1"/>
  <c r="J75" i="1" s="1"/>
  <c r="E63" i="3"/>
  <c r="D77" i="1"/>
  <c r="E77" i="1" s="1"/>
  <c r="F77" i="1"/>
  <c r="F62" i="3" l="1"/>
  <c r="I76" i="1"/>
  <c r="J76" i="1" s="1"/>
  <c r="F78" i="1"/>
  <c r="D78" i="1"/>
  <c r="E78" i="1" s="1"/>
  <c r="F63" i="3" l="1"/>
  <c r="I77" i="1"/>
  <c r="J77" i="1" s="1"/>
  <c r="D79" i="1"/>
  <c r="E79" i="1" s="1"/>
  <c r="F79" i="1"/>
  <c r="I78" i="1" l="1"/>
  <c r="J78" i="1" s="1"/>
  <c r="F80" i="1"/>
  <c r="D80" i="1"/>
  <c r="E80" i="1" s="1"/>
  <c r="I79" i="1" l="1"/>
  <c r="J79" i="1" s="1"/>
  <c r="D81" i="1"/>
  <c r="E81" i="1" s="1"/>
  <c r="F81" i="1"/>
  <c r="I80" i="1" l="1"/>
  <c r="J80" i="1" s="1"/>
  <c r="D82" i="1"/>
  <c r="E82" i="1" s="1"/>
  <c r="F82" i="1"/>
  <c r="I81" i="1" l="1"/>
  <c r="J81" i="1" s="1"/>
  <c r="F83" i="1"/>
  <c r="D83" i="1"/>
  <c r="E83" i="1" s="1"/>
  <c r="I82" i="1" l="1"/>
  <c r="J82" i="1" s="1"/>
  <c r="F84" i="1"/>
  <c r="D84" i="1"/>
  <c r="E84" i="1" s="1"/>
  <c r="I83" i="1" l="1"/>
  <c r="J83" i="1" s="1"/>
  <c r="F85" i="1"/>
  <c r="D85" i="1"/>
  <c r="E85" i="1" s="1"/>
  <c r="I84" i="1" l="1"/>
  <c r="J84" i="1" s="1"/>
  <c r="D86" i="1"/>
  <c r="E86" i="1" s="1"/>
  <c r="F86" i="1"/>
  <c r="I85" i="1" l="1"/>
  <c r="J85" i="1" s="1"/>
  <c r="F87" i="1"/>
  <c r="D87" i="1"/>
  <c r="E87" i="1" s="1"/>
  <c r="I86" i="1" l="1"/>
  <c r="J86" i="1" s="1"/>
  <c r="D88" i="1"/>
  <c r="E88" i="1" s="1"/>
  <c r="F88" i="1"/>
  <c r="I87" i="1" l="1"/>
  <c r="J87" i="1" s="1"/>
  <c r="F89" i="1"/>
  <c r="D89" i="1"/>
  <c r="E89" i="1" s="1"/>
  <c r="I88" i="1" l="1"/>
  <c r="J88" i="1" s="1"/>
  <c r="F90" i="1"/>
  <c r="D90" i="1"/>
  <c r="E90" i="1" s="1"/>
  <c r="I89" i="1" l="1"/>
  <c r="J89" i="1" s="1"/>
  <c r="F91" i="1"/>
  <c r="D91" i="1"/>
  <c r="E91" i="1" s="1"/>
  <c r="I90" i="1" l="1"/>
  <c r="J90" i="1" s="1"/>
  <c r="F92" i="1"/>
  <c r="D92" i="1"/>
  <c r="E92" i="1" s="1"/>
  <c r="I91" i="1" l="1"/>
  <c r="J91" i="1" s="1"/>
  <c r="D93" i="1"/>
  <c r="E93" i="1" s="1"/>
  <c r="F93" i="1"/>
  <c r="F94" i="1" l="1"/>
  <c r="D94" i="1"/>
  <c r="E94" i="1" s="1"/>
  <c r="I92" i="1"/>
  <c r="J92" i="1" s="1"/>
  <c r="I93" i="1" l="1"/>
  <c r="J93" i="1" s="1"/>
  <c r="D95" i="1"/>
  <c r="E95" i="1" s="1"/>
  <c r="F95" i="1"/>
  <c r="I94" i="1" l="1"/>
  <c r="J94" i="1" s="1"/>
  <c r="D96" i="1"/>
  <c r="E96" i="1" s="1"/>
  <c r="F96" i="1"/>
  <c r="I95" i="1" l="1"/>
  <c r="J95" i="1" s="1"/>
  <c r="F97" i="1"/>
  <c r="D97" i="1"/>
  <c r="E97" i="1" s="1"/>
  <c r="I96" i="1" l="1"/>
  <c r="J96" i="1" s="1"/>
  <c r="F98" i="1"/>
  <c r="D98" i="1"/>
  <c r="E98" i="1" s="1"/>
  <c r="I97" i="1" l="1"/>
  <c r="J97" i="1" s="1"/>
  <c r="F99" i="1"/>
  <c r="D99" i="1"/>
  <c r="E99" i="1" s="1"/>
  <c r="I98" i="1" l="1"/>
  <c r="J98" i="1" s="1"/>
  <c r="F100" i="1"/>
  <c r="D100" i="1"/>
  <c r="E100" i="1" s="1"/>
  <c r="I99" i="1" l="1"/>
  <c r="J99" i="1" s="1"/>
  <c r="D101" i="1"/>
  <c r="E101" i="1" s="1"/>
  <c r="F101" i="1"/>
  <c r="I100" i="1" l="1"/>
  <c r="J100" i="1" s="1"/>
  <c r="D102" i="1"/>
  <c r="E102" i="1" s="1"/>
  <c r="F102" i="1"/>
  <c r="I101" i="1" l="1"/>
  <c r="J101" i="1" s="1"/>
  <c r="F103" i="1"/>
  <c r="D103" i="1"/>
  <c r="E103" i="1" s="1"/>
  <c r="I102" i="1" l="1"/>
  <c r="J102" i="1" s="1"/>
  <c r="D104" i="1"/>
  <c r="E104" i="1" s="1"/>
  <c r="F104" i="1"/>
  <c r="I103" i="1" l="1"/>
  <c r="J103" i="1" s="1"/>
  <c r="F105" i="1"/>
  <c r="D105" i="1"/>
  <c r="E105" i="1" s="1"/>
  <c r="I104" i="1" l="1"/>
  <c r="J104" i="1" s="1"/>
  <c r="F106" i="1"/>
  <c r="D106" i="1"/>
  <c r="E106" i="1" s="1"/>
  <c r="I105" i="1" l="1"/>
  <c r="J105" i="1" s="1"/>
  <c r="F107" i="1"/>
  <c r="D107" i="1"/>
  <c r="E107" i="1" s="1"/>
  <c r="I106" i="1" l="1"/>
  <c r="J106" i="1" s="1"/>
  <c r="F108" i="1"/>
  <c r="D108" i="1"/>
  <c r="E108" i="1" s="1"/>
  <c r="I107" i="1" l="1"/>
  <c r="J107" i="1" s="1"/>
  <c r="F109" i="1"/>
  <c r="D109" i="1"/>
  <c r="E109" i="1" s="1"/>
  <c r="I108" i="1" l="1"/>
  <c r="J108" i="1" s="1"/>
  <c r="D110" i="1"/>
  <c r="E110" i="1" s="1"/>
  <c r="F110" i="1"/>
  <c r="I109" i="1" l="1"/>
  <c r="J109" i="1" s="1"/>
  <c r="D111" i="1"/>
  <c r="E111" i="1" s="1"/>
  <c r="F111" i="1"/>
  <c r="I110" i="1" l="1"/>
  <c r="J110" i="1" s="1"/>
  <c r="F112" i="1"/>
  <c r="D112" i="1"/>
  <c r="E112" i="1" s="1"/>
  <c r="I111" i="1" l="1"/>
  <c r="J111" i="1" s="1"/>
  <c r="F113" i="1"/>
  <c r="D113" i="1"/>
  <c r="E113" i="1" s="1"/>
  <c r="I112" i="1" l="1"/>
  <c r="J112" i="1" s="1"/>
  <c r="F114" i="1"/>
  <c r="D114" i="1"/>
  <c r="E114" i="1" s="1"/>
  <c r="I113" i="1" l="1"/>
  <c r="J113" i="1" s="1"/>
  <c r="F115" i="1"/>
  <c r="D115" i="1"/>
  <c r="E115" i="1" s="1"/>
  <c r="D116" i="1" l="1"/>
  <c r="E116" i="1" s="1"/>
  <c r="F116" i="1"/>
  <c r="I114" i="1"/>
  <c r="J114" i="1" s="1"/>
  <c r="I115" i="1" l="1"/>
  <c r="J115" i="1" s="1"/>
  <c r="F117" i="1"/>
  <c r="D117" i="1"/>
  <c r="E117" i="1" s="1"/>
  <c r="I116" i="1" l="1"/>
  <c r="J116" i="1" s="1"/>
  <c r="F118" i="1"/>
  <c r="D118" i="1"/>
  <c r="E118" i="1" s="1"/>
  <c r="I117" i="1" l="1"/>
  <c r="J117" i="1" s="1"/>
  <c r="F119" i="1"/>
  <c r="D119" i="1"/>
  <c r="E119" i="1" s="1"/>
  <c r="I118" i="1" l="1"/>
  <c r="J118" i="1" s="1"/>
  <c r="F120" i="1"/>
  <c r="D120" i="1"/>
  <c r="E120" i="1" s="1"/>
  <c r="I119" i="1" l="1"/>
  <c r="J119" i="1" s="1"/>
  <c r="F121" i="1"/>
  <c r="D121" i="1"/>
  <c r="E121" i="1" s="1"/>
  <c r="I120" i="1" l="1"/>
  <c r="J120" i="1" s="1"/>
  <c r="F122" i="1"/>
  <c r="D122" i="1"/>
  <c r="E122" i="1" s="1"/>
  <c r="I121" i="1" l="1"/>
  <c r="J121" i="1" s="1"/>
  <c r="D123" i="1"/>
  <c r="E123" i="1" s="1"/>
  <c r="F123" i="1"/>
  <c r="I122" i="1" l="1"/>
  <c r="J122" i="1" s="1"/>
  <c r="F124" i="1"/>
  <c r="D124" i="1"/>
  <c r="E124" i="1" s="1"/>
  <c r="I123" i="1" l="1"/>
  <c r="J123" i="1" s="1"/>
  <c r="F125" i="1"/>
  <c r="D125" i="1"/>
  <c r="E125" i="1" s="1"/>
  <c r="I124" i="1" l="1"/>
  <c r="J124" i="1" s="1"/>
  <c r="D126" i="1"/>
  <c r="E126" i="1" s="1"/>
  <c r="F126" i="1"/>
  <c r="I125" i="1" l="1"/>
  <c r="J125" i="1" s="1"/>
  <c r="F127" i="1"/>
  <c r="D127" i="1"/>
  <c r="E127" i="1" s="1"/>
  <c r="I126" i="1" l="1"/>
  <c r="J126" i="1" s="1"/>
  <c r="F128" i="1"/>
  <c r="D128" i="1"/>
  <c r="E128" i="1" s="1"/>
  <c r="I127" i="1" l="1"/>
  <c r="J127" i="1" s="1"/>
  <c r="F129" i="1"/>
  <c r="D129" i="1"/>
  <c r="E129" i="1" s="1"/>
  <c r="I128" i="1" l="1"/>
  <c r="J128" i="1" s="1"/>
  <c r="F130" i="1"/>
  <c r="D130" i="1"/>
  <c r="E130" i="1" s="1"/>
  <c r="I129" i="1" l="1"/>
  <c r="J129" i="1" s="1"/>
  <c r="F131" i="1"/>
  <c r="D131" i="1"/>
  <c r="E131" i="1" s="1"/>
  <c r="D132" i="1" l="1"/>
  <c r="E132" i="1" s="1"/>
  <c r="F132" i="1"/>
  <c r="I130" i="1"/>
  <c r="J130" i="1" s="1"/>
  <c r="I131" i="1" l="1"/>
  <c r="J131" i="1" s="1"/>
  <c r="F133" i="1"/>
  <c r="D133" i="1"/>
  <c r="E133" i="1" s="1"/>
  <c r="I132" i="1" l="1"/>
  <c r="J132" i="1" s="1"/>
  <c r="D134" i="1"/>
  <c r="E134" i="1" s="1"/>
  <c r="F134" i="1"/>
  <c r="I133" i="1" l="1"/>
  <c r="J133" i="1" s="1"/>
  <c r="F135" i="1"/>
  <c r="D135" i="1"/>
  <c r="E135" i="1" s="1"/>
  <c r="I134" i="1" l="1"/>
  <c r="J134" i="1" s="1"/>
  <c r="F136" i="1"/>
  <c r="D136" i="1"/>
  <c r="E136" i="1" s="1"/>
  <c r="I135" i="1" l="1"/>
  <c r="J135" i="1" s="1"/>
  <c r="D137" i="1"/>
  <c r="E137" i="1" s="1"/>
  <c r="F137" i="1"/>
  <c r="F138" i="1" l="1"/>
  <c r="D138" i="1"/>
  <c r="E138" i="1" s="1"/>
  <c r="I136" i="1"/>
  <c r="J136" i="1" s="1"/>
  <c r="I137" i="1" l="1"/>
  <c r="J137" i="1" s="1"/>
  <c r="F139" i="1"/>
  <c r="D139" i="1"/>
  <c r="E139" i="1" s="1"/>
  <c r="I138" i="1" l="1"/>
  <c r="J138" i="1" s="1"/>
  <c r="D140" i="1"/>
  <c r="E140" i="1" s="1"/>
  <c r="F140" i="1"/>
  <c r="D141" i="1" l="1"/>
  <c r="E141" i="1" s="1"/>
  <c r="F141" i="1"/>
  <c r="I139" i="1"/>
  <c r="J139" i="1" s="1"/>
  <c r="I140" i="1" l="1"/>
  <c r="J140" i="1" s="1"/>
  <c r="F142" i="1"/>
  <c r="D142" i="1"/>
  <c r="E142" i="1" s="1"/>
  <c r="I141" i="1" l="1"/>
  <c r="J141" i="1" s="1"/>
  <c r="F143" i="1"/>
  <c r="D143" i="1"/>
  <c r="E143" i="1" s="1"/>
  <c r="I142" i="1" l="1"/>
  <c r="J142" i="1" s="1"/>
  <c r="D144" i="1"/>
  <c r="E144" i="1" s="1"/>
  <c r="F144" i="1"/>
  <c r="I143" i="1" l="1"/>
  <c r="J143" i="1" s="1"/>
  <c r="F145" i="1"/>
  <c r="D145" i="1"/>
  <c r="E145" i="1" s="1"/>
  <c r="D146" i="1" l="1"/>
  <c r="E146" i="1" s="1"/>
  <c r="F146" i="1"/>
  <c r="I144" i="1"/>
  <c r="J144" i="1" s="1"/>
  <c r="I145" i="1" l="1"/>
  <c r="J145" i="1" s="1"/>
  <c r="D147" i="1"/>
  <c r="E147" i="1" s="1"/>
  <c r="F147" i="1"/>
  <c r="I146" i="1" l="1"/>
  <c r="J146" i="1" s="1"/>
  <c r="F148" i="1"/>
  <c r="D148" i="1"/>
  <c r="E148" i="1" s="1"/>
  <c r="I147" i="1" l="1"/>
  <c r="J147" i="1" s="1"/>
  <c r="D149" i="1"/>
  <c r="E149" i="1" s="1"/>
  <c r="F149" i="1"/>
  <c r="I148" i="1" l="1"/>
  <c r="J148" i="1" s="1"/>
  <c r="F150" i="1"/>
  <c r="D150" i="1"/>
  <c r="E150" i="1" s="1"/>
  <c r="I149" i="1" l="1"/>
  <c r="J149" i="1" s="1"/>
  <c r="F151" i="1"/>
  <c r="D151" i="1"/>
  <c r="E151" i="1" s="1"/>
  <c r="D152" i="1" l="1"/>
  <c r="E152" i="1" s="1"/>
  <c r="F152" i="1"/>
  <c r="I150" i="1"/>
  <c r="J150" i="1" s="1"/>
  <c r="I151" i="1" l="1"/>
  <c r="J151" i="1" s="1"/>
  <c r="D153" i="1"/>
  <c r="E153" i="1" s="1"/>
  <c r="F153" i="1"/>
  <c r="I152" i="1" l="1"/>
  <c r="J152" i="1" s="1"/>
  <c r="D154" i="1"/>
  <c r="E154" i="1" s="1"/>
  <c r="F154" i="1"/>
  <c r="I153" i="1" l="1"/>
  <c r="J153" i="1" s="1"/>
  <c r="D155" i="1"/>
  <c r="E155" i="1" s="1"/>
  <c r="F155" i="1"/>
  <c r="I154" i="1" l="1"/>
  <c r="J154" i="1" s="1"/>
  <c r="D156" i="1"/>
  <c r="E156" i="1" s="1"/>
  <c r="F156" i="1"/>
  <c r="I155" i="1" l="1"/>
  <c r="J155" i="1" s="1"/>
  <c r="D157" i="1"/>
  <c r="E157" i="1" s="1"/>
  <c r="F157" i="1"/>
  <c r="I156" i="1" l="1"/>
  <c r="J156" i="1" s="1"/>
  <c r="D158" i="1"/>
  <c r="E158" i="1" s="1"/>
  <c r="F158" i="1"/>
  <c r="I157" i="1" l="1"/>
  <c r="J157" i="1" s="1"/>
  <c r="D159" i="1"/>
  <c r="E159" i="1" s="1"/>
  <c r="F159" i="1"/>
  <c r="I158" i="1" l="1"/>
  <c r="J158" i="1" s="1"/>
  <c r="D160" i="1"/>
  <c r="E160" i="1" s="1"/>
  <c r="F160" i="1"/>
  <c r="I159" i="1" l="1"/>
  <c r="J159" i="1" s="1"/>
  <c r="D161" i="1"/>
  <c r="E161" i="1" s="1"/>
  <c r="F161" i="1"/>
  <c r="I160" i="1" l="1"/>
  <c r="J160" i="1" s="1"/>
  <c r="F162" i="1"/>
  <c r="D162" i="1"/>
  <c r="E162" i="1" s="1"/>
  <c r="I161" i="1" l="1"/>
  <c r="J161" i="1" s="1"/>
  <c r="D163" i="1"/>
  <c r="E163" i="1" s="1"/>
  <c r="F163" i="1"/>
  <c r="I162" i="1" l="1"/>
  <c r="J162" i="1" s="1"/>
  <c r="F164" i="1"/>
  <c r="D164" i="1"/>
  <c r="E164" i="1" s="1"/>
  <c r="I163" i="1" l="1"/>
  <c r="J163" i="1" s="1"/>
  <c r="F165" i="1"/>
  <c r="D165" i="1"/>
  <c r="E165" i="1" s="1"/>
  <c r="I164" i="1" l="1"/>
  <c r="J164" i="1" s="1"/>
  <c r="D166" i="1"/>
  <c r="E166" i="1" s="1"/>
  <c r="F166" i="1"/>
  <c r="I165" i="1" l="1"/>
  <c r="J165" i="1" s="1"/>
  <c r="D167" i="1"/>
  <c r="E167" i="1" s="1"/>
  <c r="F167" i="1"/>
  <c r="I166" i="1" l="1"/>
  <c r="J166" i="1" s="1"/>
  <c r="D168" i="1"/>
  <c r="E168" i="1" s="1"/>
  <c r="F168" i="1"/>
  <c r="I167" i="1" l="1"/>
  <c r="J167" i="1" s="1"/>
  <c r="F169" i="1"/>
  <c r="D169" i="1"/>
  <c r="E169" i="1" s="1"/>
  <c r="I168" i="1" l="1"/>
  <c r="J168" i="1" s="1"/>
  <c r="F170" i="1"/>
  <c r="D170" i="1"/>
  <c r="E170" i="1" s="1"/>
  <c r="I169" i="1" l="1"/>
  <c r="J169" i="1" s="1"/>
  <c r="D171" i="1"/>
  <c r="E171" i="1" s="1"/>
  <c r="F171" i="1"/>
  <c r="I170" i="1" l="1"/>
  <c r="J170" i="1" s="1"/>
  <c r="F172" i="1"/>
  <c r="D172" i="1"/>
  <c r="E172" i="1" s="1"/>
  <c r="I171" i="1" l="1"/>
  <c r="J171" i="1" s="1"/>
  <c r="F173" i="1"/>
  <c r="D173" i="1"/>
  <c r="E173" i="1" s="1"/>
  <c r="I172" i="1" l="1"/>
  <c r="J172" i="1" s="1"/>
  <c r="D174" i="1"/>
  <c r="E174" i="1" s="1"/>
  <c r="F174" i="1"/>
  <c r="I173" i="1" l="1"/>
  <c r="J173" i="1" s="1"/>
  <c r="F175" i="1"/>
  <c r="D175" i="1"/>
  <c r="E175" i="1" s="1"/>
  <c r="I174" i="1" l="1"/>
  <c r="J174" i="1" s="1"/>
  <c r="F176" i="1"/>
  <c r="D176" i="1"/>
  <c r="E176" i="1" s="1"/>
  <c r="I175" i="1" l="1"/>
  <c r="J175" i="1" s="1"/>
  <c r="D177" i="1"/>
  <c r="E177" i="1" s="1"/>
  <c r="F177" i="1"/>
  <c r="I176" i="1" l="1"/>
  <c r="J176" i="1" s="1"/>
  <c r="F178" i="1"/>
  <c r="D178" i="1"/>
  <c r="E178" i="1" s="1"/>
  <c r="I177" i="1" l="1"/>
  <c r="J177" i="1" s="1"/>
  <c r="D179" i="1"/>
  <c r="E179" i="1" s="1"/>
  <c r="F179" i="1"/>
  <c r="I178" i="1" l="1"/>
  <c r="J178" i="1" s="1"/>
  <c r="D180" i="1"/>
  <c r="E180" i="1" s="1"/>
  <c r="F180" i="1"/>
  <c r="I179" i="1" l="1"/>
  <c r="J179" i="1" s="1"/>
  <c r="F181" i="1"/>
  <c r="D181" i="1"/>
  <c r="E181" i="1" s="1"/>
  <c r="I180" i="1" l="1"/>
  <c r="J180" i="1" s="1"/>
  <c r="F182" i="1"/>
  <c r="D182" i="1"/>
  <c r="E182" i="1" s="1"/>
  <c r="I181" i="1" l="1"/>
  <c r="J181" i="1" s="1"/>
  <c r="F183" i="1"/>
  <c r="D183" i="1"/>
  <c r="E183" i="1" s="1"/>
  <c r="I182" i="1" l="1"/>
  <c r="J182" i="1" s="1"/>
  <c r="F184" i="1"/>
  <c r="D184" i="1"/>
  <c r="E184" i="1" s="1"/>
  <c r="I183" i="1" l="1"/>
  <c r="J183" i="1" s="1"/>
  <c r="D185" i="1"/>
  <c r="E185" i="1" s="1"/>
  <c r="F185" i="1"/>
  <c r="I184" i="1" l="1"/>
  <c r="J184" i="1" s="1"/>
  <c r="F186" i="1"/>
  <c r="D186" i="1"/>
  <c r="E186" i="1" s="1"/>
  <c r="I185" i="1" l="1"/>
  <c r="J185" i="1" s="1"/>
  <c r="D187" i="1"/>
  <c r="E187" i="1" s="1"/>
  <c r="F187" i="1"/>
  <c r="I186" i="1" l="1"/>
  <c r="J186" i="1" s="1"/>
  <c r="D188" i="1"/>
  <c r="E188" i="1" s="1"/>
  <c r="F188" i="1"/>
  <c r="I187" i="1" l="1"/>
  <c r="J187" i="1" s="1"/>
  <c r="D189" i="1"/>
  <c r="E189" i="1" s="1"/>
  <c r="F189" i="1"/>
  <c r="I188" i="1" l="1"/>
  <c r="J188" i="1" s="1"/>
  <c r="D190" i="1"/>
  <c r="E190" i="1" s="1"/>
  <c r="F190" i="1"/>
  <c r="I189" i="1" l="1"/>
  <c r="J189" i="1" s="1"/>
  <c r="F191" i="1"/>
  <c r="D191" i="1"/>
  <c r="E191" i="1" s="1"/>
  <c r="I190" i="1" l="1"/>
  <c r="J190" i="1" s="1"/>
  <c r="F192" i="1"/>
  <c r="D192" i="1"/>
  <c r="E192" i="1" s="1"/>
  <c r="I191" i="1" l="1"/>
  <c r="J191" i="1" s="1"/>
  <c r="F193" i="1"/>
  <c r="D193" i="1"/>
  <c r="E193" i="1" s="1"/>
  <c r="I192" i="1" l="1"/>
  <c r="J192" i="1" s="1"/>
  <c r="D194" i="1"/>
  <c r="E194" i="1" s="1"/>
  <c r="F194" i="1"/>
  <c r="I193" i="1" l="1"/>
  <c r="J193" i="1" s="1"/>
  <c r="D195" i="1"/>
  <c r="E195" i="1" s="1"/>
  <c r="F195" i="1"/>
  <c r="I194" i="1" l="1"/>
  <c r="J194" i="1" s="1"/>
  <c r="F196" i="1"/>
  <c r="D196" i="1"/>
  <c r="I195" i="1" l="1"/>
  <c r="J195" i="1" s="1"/>
  <c r="E196" i="1"/>
  <c r="E377" i="1" s="1"/>
  <c r="C14" i="2" s="1"/>
  <c r="E14" i="2" s="1"/>
  <c r="D377" i="1"/>
  <c r="C15" i="2" s="1"/>
  <c r="E15" i="2" l="1"/>
  <c r="B18" i="2"/>
  <c r="I196" i="1"/>
  <c r="I377" i="1" s="1"/>
  <c r="J19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Projetei.com</author>
  </authors>
  <commentList>
    <comment ref="C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Taxa mensal da Caixa. Divida a anual por 12.</t>
        </r>
      </text>
    </comment>
  </commentList>
</comments>
</file>

<file path=xl/sharedStrings.xml><?xml version="1.0" encoding="utf-8"?>
<sst xmlns="http://schemas.openxmlformats.org/spreadsheetml/2006/main" count="52" uniqueCount="50">
  <si>
    <t>PLANILHA DE FINANCIAMENTO</t>
  </si>
  <si>
    <t>DADOS DE ENTRADA</t>
  </si>
  <si>
    <t>Valor Total da Construção (R$)</t>
  </si>
  <si>
    <t>Entrada (%)</t>
  </si>
  <si>
    <t>Tempo do Financiamento (anos)</t>
  </si>
  <si>
    <t>Taxa de Juros ao mês (Caixa)</t>
  </si>
  <si>
    <t>0,0075</t>
  </si>
  <si>
    <t>Valor da Entrada (R$)</t>
  </si>
  <si>
    <t>Valor Financiado (R$)</t>
  </si>
  <si>
    <t>Total de Parcelas</t>
  </si>
  <si>
    <t>SIMULAÇÃO — SISTEMA SAC (Amortização Constante)</t>
  </si>
  <si>
    <t>SIMULAÇÃO — TABELA PRICE (Parcela Fixa)</t>
  </si>
  <si>
    <t>Amortização</t>
  </si>
  <si>
    <t>Juros</t>
  </si>
  <si>
    <t>Parcela Total</t>
  </si>
  <si>
    <t>Saldo Devedor</t>
  </si>
  <si>
    <t>Parcela Fixa</t>
  </si>
  <si>
    <t>TOTAL</t>
  </si>
  <si>
    <t>RESUMO COMPARATIVO — SAC x PRICE</t>
  </si>
  <si>
    <t>VALOR DA CONSTRUÇÃO</t>
  </si>
  <si>
    <t>ENTRADA</t>
  </si>
  <si>
    <t>VALOR FINANCIADO</t>
  </si>
  <si>
    <t>PRAZO</t>
  </si>
  <si>
    <t>TAXA MENSAL</t>
  </si>
  <si>
    <t>COMPARATIVO ENTRE SISTEMAS</t>
  </si>
  <si>
    <t>Indicador</t>
  </si>
  <si>
    <t>SAC</t>
  </si>
  <si>
    <t>PRICE</t>
  </si>
  <si>
    <t>Diferença</t>
  </si>
  <si>
    <t>Parcela Inicial</t>
  </si>
  <si>
    <t>Parcela Final</t>
  </si>
  <si>
    <t>Total Pago ao Final</t>
  </si>
  <si>
    <t>Total de Juros Pagos</t>
  </si>
  <si>
    <t>VEREDICTO</t>
  </si>
  <si>
    <t>ANÁLISE RÁPIDA</t>
  </si>
  <si>
    <t>▸ O SAC tem parcelas iniciais MAIORES, mas diminuem ao longo do tempo — ideal quem tem renda que vai crescer.</t>
  </si>
  <si>
    <t>▸ O PRICE tem parcelas FIXAS durante todo o financiamento — ideal para quem quer previsibilidade.</t>
  </si>
  <si>
    <t>▸ Em financiamentos longos (15-30 anos), o SAC quase sempre é mais barato no total.</t>
  </si>
  <si>
    <t>▸ A diferença total entre eles pode chegar a dezenas de milhares de reais.</t>
  </si>
  <si>
    <t>GRÁFICOS — PRIMEIROS 60 MESES</t>
  </si>
  <si>
    <t>Mês</t>
  </si>
  <si>
    <t>Parcela SAC</t>
  </si>
  <si>
    <t>Parcela PRICE</t>
  </si>
  <si>
    <t>Saldo SAC</t>
  </si>
  <si>
    <t>Saldo PRICE</t>
  </si>
  <si>
    <t>15 ANOS</t>
  </si>
  <si>
    <t>Comparativo SAC x PRICE — projetei.com | Edição JUL/2026</t>
  </si>
  <si>
    <t>Amort + Juros</t>
  </si>
  <si>
    <t>▸ Em financiamentos curtos (Até 10 anos), o PRICE pode ser competitivo.</t>
  </si>
  <si>
    <t>projetei.com — Edição JUL/2026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</si>
</sst>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#,000&quot;%&quot;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4A5568"/>
      <name val="Calibri"/>
    </font>
    <font>
      <b/>
      <sz val="13"/>
      <color rgb="FF1B6B3A"/>
      <name val="Calibri"/>
    </font>
    <font>
      <sz val="11"/>
      <color rgb="FF1A1A2E"/>
      <name val="Calibri"/>
    </font>
    <font>
      <b/>
      <sz val="12"/>
      <color rgb="FF1B6B3A"/>
      <name val="Calibri"/>
    </font>
    <font>
      <b/>
      <sz val="11"/>
      <color rgb="FFFFFFFF"/>
      <name val="Calibri"/>
    </font>
    <font>
      <b/>
      <sz val="11"/>
      <color rgb="FFEF4444"/>
      <name val="Calibri"/>
    </font>
    <font>
      <b/>
      <sz val="14"/>
      <color rgb="FF1B6B3A"/>
      <name val="Calibri"/>
    </font>
    <font>
      <sz val="10"/>
      <color rgb="FF4A5568"/>
      <name val="Calibri"/>
    </font>
    <font>
      <b/>
      <sz val="13"/>
      <color rgb="FF1B6B3A"/>
      <name val="Calibri"/>
      <family val="2"/>
    </font>
    <font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4A556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6B3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59E0B"/>
      </patternFill>
    </fill>
    <fill>
      <patternFill patternType="solid">
        <fgColor rgb="FFC8E6C9"/>
      </patternFill>
    </fill>
  </fills>
  <borders count="11">
    <border>
      <left/>
      <right/>
      <top/>
      <bottom/>
      <diagonal/>
    </border>
    <border>
      <left style="medium">
        <color rgb="FF1B6B3A"/>
      </left>
      <right style="medium">
        <color rgb="FF1B6B3A"/>
      </right>
      <top style="medium">
        <color rgb="FF1B6B3A"/>
      </top>
      <bottom style="medium">
        <color rgb="FF1B6B3A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/>
      <right/>
      <top style="thin">
        <color rgb="FFA5D6A7"/>
      </top>
      <bottom style="thin">
        <color rgb="FFA5D6A7"/>
      </bottom>
      <diagonal/>
    </border>
    <border>
      <left/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5D6A7"/>
      </left>
      <right style="thin">
        <color rgb="FFA5D6A7"/>
      </right>
      <top/>
      <bottom style="thin">
        <color rgb="FFA5D6A7"/>
      </bottom>
      <diagonal/>
    </border>
    <border>
      <left style="medium">
        <color indexed="64"/>
      </left>
      <right style="medium">
        <color rgb="FF1B6B3A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165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2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44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44" fontId="3" fillId="4" borderId="1" xfId="0" applyNumberFormat="1" applyFont="1" applyFill="1" applyBorder="1" applyAlignment="1">
      <alignment horizontal="center" vertical="center" wrapText="1"/>
    </xf>
    <xf numFmtId="44" fontId="3" fillId="5" borderId="1" xfId="0" applyNumberFormat="1" applyFont="1" applyFill="1" applyBorder="1" applyAlignment="1">
      <alignment horizontal="center" vertical="center" wrapText="1"/>
    </xf>
    <xf numFmtId="44" fontId="4" fillId="4" borderId="2" xfId="0" applyNumberFormat="1" applyFont="1" applyFill="1" applyBorder="1" applyAlignment="1">
      <alignment horizontal="right" vertical="center"/>
    </xf>
    <xf numFmtId="44" fontId="5" fillId="6" borderId="1" xfId="0" applyNumberFormat="1" applyFont="1" applyFill="1" applyBorder="1" applyAlignment="1">
      <alignment horizontal="right" vertical="center"/>
    </xf>
    <xf numFmtId="44" fontId="5" fillId="5" borderId="1" xfId="0" applyNumberFormat="1" applyFont="1" applyFill="1" applyBorder="1" applyAlignment="1">
      <alignment horizontal="center" vertical="center" wrapText="1"/>
    </xf>
    <xf numFmtId="44" fontId="5" fillId="5" borderId="1" xfId="0" applyNumberFormat="1" applyFont="1" applyFill="1" applyBorder="1" applyAlignment="1">
      <alignment horizontal="right" vertical="center"/>
    </xf>
    <xf numFmtId="0" fontId="1" fillId="7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2" borderId="7" xfId="0" applyFont="1" applyFill="1" applyBorder="1" applyAlignment="1">
      <alignment horizontal="center" vertical="center" wrapText="1"/>
    </xf>
    <xf numFmtId="44" fontId="7" fillId="4" borderId="2" xfId="0" applyNumberFormat="1" applyFont="1" applyFill="1" applyBorder="1" applyAlignment="1">
      <alignment horizontal="right"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Evolução das Parcelas — SAC x PRICE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Gráficos!$C$3</c:f>
              <c:strCache>
                <c:ptCount val="1"/>
                <c:pt idx="0">
                  <c:v>Parcela SAC</c:v>
                </c:pt>
              </c:strCache>
            </c:strRef>
          </c:tx>
          <c:spPr>
            <a:ln>
              <a:solidFill>
                <a:srgbClr val="1B6B3A"/>
              </a:solidFill>
              <a:prstDash val="solid"/>
            </a:ln>
          </c:spPr>
          <c:marker>
            <c:symbol val="none"/>
          </c:marker>
          <c:cat>
            <c:numRef>
              <c:f>Gráficos!$B$4:$B$63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Gráficos!$C$4:$C$63</c:f>
              <c:numCache>
                <c:formatCode>_("R$"* #,##0.00_);_("R$"* \(#,##0.00\);_("R$"* "-"??_);_(@_)</c:formatCode>
                <c:ptCount val="60"/>
                <c:pt idx="0">
                  <c:v>6266.6666666666661</c:v>
                </c:pt>
                <c:pt idx="1">
                  <c:v>6246.6666666666661</c:v>
                </c:pt>
                <c:pt idx="2">
                  <c:v>6226.6666666666661</c:v>
                </c:pt>
                <c:pt idx="3">
                  <c:v>6206.6666666666661</c:v>
                </c:pt>
                <c:pt idx="4">
                  <c:v>6186.6666666666661</c:v>
                </c:pt>
                <c:pt idx="5">
                  <c:v>6166.6666666666661</c:v>
                </c:pt>
                <c:pt idx="6">
                  <c:v>6146.6666666666661</c:v>
                </c:pt>
                <c:pt idx="7">
                  <c:v>6126.6666666666652</c:v>
                </c:pt>
                <c:pt idx="8">
                  <c:v>6106.6666666666652</c:v>
                </c:pt>
                <c:pt idx="9">
                  <c:v>6086.6666666666652</c:v>
                </c:pt>
                <c:pt idx="10">
                  <c:v>6066.6666666666652</c:v>
                </c:pt>
                <c:pt idx="11">
                  <c:v>6046.6666666666642</c:v>
                </c:pt>
                <c:pt idx="12">
                  <c:v>6026.6666666666642</c:v>
                </c:pt>
                <c:pt idx="13">
                  <c:v>6006.6666666666642</c:v>
                </c:pt>
                <c:pt idx="14">
                  <c:v>5986.6666666666642</c:v>
                </c:pt>
                <c:pt idx="15">
                  <c:v>5966.6666666666642</c:v>
                </c:pt>
                <c:pt idx="16">
                  <c:v>5946.6666666666642</c:v>
                </c:pt>
                <c:pt idx="17">
                  <c:v>5926.6666666666642</c:v>
                </c:pt>
                <c:pt idx="18">
                  <c:v>5906.6666666666642</c:v>
                </c:pt>
                <c:pt idx="19">
                  <c:v>5886.6666666666642</c:v>
                </c:pt>
                <c:pt idx="20">
                  <c:v>5866.6666666666633</c:v>
                </c:pt>
                <c:pt idx="21">
                  <c:v>5846.6666666666633</c:v>
                </c:pt>
                <c:pt idx="22">
                  <c:v>5826.6666666666633</c:v>
                </c:pt>
                <c:pt idx="23">
                  <c:v>5806.6666666666624</c:v>
                </c:pt>
                <c:pt idx="24">
                  <c:v>5786.6666666666624</c:v>
                </c:pt>
                <c:pt idx="25">
                  <c:v>5766.6666666666624</c:v>
                </c:pt>
                <c:pt idx="26">
                  <c:v>5746.6666666666624</c:v>
                </c:pt>
                <c:pt idx="27">
                  <c:v>5726.6666666666624</c:v>
                </c:pt>
                <c:pt idx="28">
                  <c:v>5706.6666666666624</c:v>
                </c:pt>
                <c:pt idx="29">
                  <c:v>5686.6666666666624</c:v>
                </c:pt>
                <c:pt idx="30">
                  <c:v>5666.6666666666624</c:v>
                </c:pt>
                <c:pt idx="31">
                  <c:v>5646.6666666666624</c:v>
                </c:pt>
                <c:pt idx="32">
                  <c:v>5626.6666666666624</c:v>
                </c:pt>
                <c:pt idx="33">
                  <c:v>5606.6666666666615</c:v>
                </c:pt>
                <c:pt idx="34">
                  <c:v>5586.6666666666615</c:v>
                </c:pt>
                <c:pt idx="35">
                  <c:v>5566.6666666666615</c:v>
                </c:pt>
                <c:pt idx="36">
                  <c:v>5546.6666666666606</c:v>
                </c:pt>
                <c:pt idx="37">
                  <c:v>5526.6666666666606</c:v>
                </c:pt>
                <c:pt idx="38">
                  <c:v>5506.6666666666606</c:v>
                </c:pt>
                <c:pt idx="39">
                  <c:v>5486.6666666666606</c:v>
                </c:pt>
                <c:pt idx="40">
                  <c:v>5466.6666666666606</c:v>
                </c:pt>
                <c:pt idx="41">
                  <c:v>5446.6666666666606</c:v>
                </c:pt>
                <c:pt idx="42">
                  <c:v>5426.6666666666606</c:v>
                </c:pt>
                <c:pt idx="43">
                  <c:v>5406.6666666666606</c:v>
                </c:pt>
                <c:pt idx="44">
                  <c:v>5386.6666666666606</c:v>
                </c:pt>
                <c:pt idx="45">
                  <c:v>5366.6666666666597</c:v>
                </c:pt>
                <c:pt idx="46">
                  <c:v>5346.6666666666597</c:v>
                </c:pt>
                <c:pt idx="47">
                  <c:v>5326.6666666666597</c:v>
                </c:pt>
                <c:pt idx="48">
                  <c:v>5306.6666666666588</c:v>
                </c:pt>
                <c:pt idx="49">
                  <c:v>5286.6666666666588</c:v>
                </c:pt>
                <c:pt idx="50">
                  <c:v>5266.6666666666588</c:v>
                </c:pt>
                <c:pt idx="51">
                  <c:v>5246.6666666666588</c:v>
                </c:pt>
                <c:pt idx="52">
                  <c:v>5226.6666666666588</c:v>
                </c:pt>
                <c:pt idx="53">
                  <c:v>5206.6666666666588</c:v>
                </c:pt>
                <c:pt idx="54">
                  <c:v>5186.6666666666588</c:v>
                </c:pt>
                <c:pt idx="55">
                  <c:v>5166.6666666666588</c:v>
                </c:pt>
                <c:pt idx="56">
                  <c:v>5146.6666666666588</c:v>
                </c:pt>
                <c:pt idx="57">
                  <c:v>5126.6666666666588</c:v>
                </c:pt>
                <c:pt idx="58">
                  <c:v>5106.6666666666579</c:v>
                </c:pt>
                <c:pt idx="59">
                  <c:v>5086.6666666666579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36-4B86-931D-D447539FAF67}"/>
            </c:ext>
          </c:extLst>
        </c:ser>
        <c:ser>
          <c:idx val="1"/>
          <c:order val="1"/>
          <c:tx>
            <c:strRef>
              <c:f>Gráficos!$D$3</c:f>
              <c:strCache>
                <c:ptCount val="1"/>
                <c:pt idx="0">
                  <c:v>Parcela PRICE</c:v>
                </c:pt>
              </c:strCache>
            </c:strRef>
          </c:tx>
          <c:spPr>
            <a:ln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numRef>
              <c:f>Gráficos!$B$4:$B$63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Gráficos!$D$4:$D$63</c:f>
              <c:numCache>
                <c:formatCode>_("R$"* #,##0.00_);_("R$"* \(#,##0.00\);_("R$"* "-"??_);_(@_)</c:formatCode>
                <c:ptCount val="60"/>
                <c:pt idx="0">
                  <c:v>4868.4796039765415</c:v>
                </c:pt>
                <c:pt idx="1">
                  <c:v>4868.4796039765415</c:v>
                </c:pt>
                <c:pt idx="2">
                  <c:v>4868.4796039765415</c:v>
                </c:pt>
                <c:pt idx="3">
                  <c:v>4868.4796039765415</c:v>
                </c:pt>
                <c:pt idx="4">
                  <c:v>4868.4796039765415</c:v>
                </c:pt>
                <c:pt idx="5">
                  <c:v>4868.4796039765415</c:v>
                </c:pt>
                <c:pt idx="6">
                  <c:v>4868.4796039765415</c:v>
                </c:pt>
                <c:pt idx="7">
                  <c:v>4868.4796039765415</c:v>
                </c:pt>
                <c:pt idx="8">
                  <c:v>4868.4796039765415</c:v>
                </c:pt>
                <c:pt idx="9">
                  <c:v>4868.4796039765415</c:v>
                </c:pt>
                <c:pt idx="10">
                  <c:v>4868.4796039765415</c:v>
                </c:pt>
                <c:pt idx="11">
                  <c:v>4868.4796039765415</c:v>
                </c:pt>
                <c:pt idx="12">
                  <c:v>4868.4796039765415</c:v>
                </c:pt>
                <c:pt idx="13">
                  <c:v>4868.4796039765415</c:v>
                </c:pt>
                <c:pt idx="14">
                  <c:v>4868.4796039765415</c:v>
                </c:pt>
                <c:pt idx="15">
                  <c:v>4868.4796039765415</c:v>
                </c:pt>
                <c:pt idx="16">
                  <c:v>4868.4796039765415</c:v>
                </c:pt>
                <c:pt idx="17">
                  <c:v>4868.4796039765415</c:v>
                </c:pt>
                <c:pt idx="18">
                  <c:v>4868.4796039765415</c:v>
                </c:pt>
                <c:pt idx="19">
                  <c:v>4868.4796039765415</c:v>
                </c:pt>
                <c:pt idx="20">
                  <c:v>4868.4796039765415</c:v>
                </c:pt>
                <c:pt idx="21">
                  <c:v>4868.4796039765415</c:v>
                </c:pt>
                <c:pt idx="22">
                  <c:v>4868.4796039765415</c:v>
                </c:pt>
                <c:pt idx="23">
                  <c:v>4868.4796039765415</c:v>
                </c:pt>
                <c:pt idx="24">
                  <c:v>4868.4796039765415</c:v>
                </c:pt>
                <c:pt idx="25">
                  <c:v>4868.4796039765415</c:v>
                </c:pt>
                <c:pt idx="26">
                  <c:v>4868.4796039765415</c:v>
                </c:pt>
                <c:pt idx="27">
                  <c:v>4868.4796039765415</c:v>
                </c:pt>
                <c:pt idx="28">
                  <c:v>4868.4796039765415</c:v>
                </c:pt>
                <c:pt idx="29">
                  <c:v>4868.4796039765415</c:v>
                </c:pt>
                <c:pt idx="30">
                  <c:v>4868.4796039765415</c:v>
                </c:pt>
                <c:pt idx="31">
                  <c:v>4868.4796039765415</c:v>
                </c:pt>
                <c:pt idx="32">
                  <c:v>4868.4796039765415</c:v>
                </c:pt>
                <c:pt idx="33">
                  <c:v>4868.4796039765415</c:v>
                </c:pt>
                <c:pt idx="34">
                  <c:v>4868.4796039765415</c:v>
                </c:pt>
                <c:pt idx="35">
                  <c:v>4868.4796039765415</c:v>
                </c:pt>
                <c:pt idx="36">
                  <c:v>4868.4796039765415</c:v>
                </c:pt>
                <c:pt idx="37">
                  <c:v>4868.4796039765415</c:v>
                </c:pt>
                <c:pt idx="38">
                  <c:v>4868.4796039765415</c:v>
                </c:pt>
                <c:pt idx="39">
                  <c:v>4868.4796039765415</c:v>
                </c:pt>
                <c:pt idx="40">
                  <c:v>4868.4796039765415</c:v>
                </c:pt>
                <c:pt idx="41">
                  <c:v>4868.4796039765415</c:v>
                </c:pt>
                <c:pt idx="42">
                  <c:v>4868.4796039765415</c:v>
                </c:pt>
                <c:pt idx="43">
                  <c:v>4868.4796039765415</c:v>
                </c:pt>
                <c:pt idx="44">
                  <c:v>4868.4796039765415</c:v>
                </c:pt>
                <c:pt idx="45">
                  <c:v>4868.4796039765415</c:v>
                </c:pt>
                <c:pt idx="46">
                  <c:v>4868.4796039765415</c:v>
                </c:pt>
                <c:pt idx="47">
                  <c:v>4868.4796039765415</c:v>
                </c:pt>
                <c:pt idx="48">
                  <c:v>4868.4796039765415</c:v>
                </c:pt>
                <c:pt idx="49">
                  <c:v>4868.4796039765415</c:v>
                </c:pt>
                <c:pt idx="50">
                  <c:v>4868.4796039765415</c:v>
                </c:pt>
                <c:pt idx="51">
                  <c:v>4868.4796039765415</c:v>
                </c:pt>
                <c:pt idx="52">
                  <c:v>4868.4796039765415</c:v>
                </c:pt>
                <c:pt idx="53">
                  <c:v>4868.4796039765415</c:v>
                </c:pt>
                <c:pt idx="54">
                  <c:v>4868.4796039765415</c:v>
                </c:pt>
                <c:pt idx="55">
                  <c:v>4868.4796039765415</c:v>
                </c:pt>
                <c:pt idx="56">
                  <c:v>4868.4796039765415</c:v>
                </c:pt>
                <c:pt idx="57">
                  <c:v>4868.4796039765415</c:v>
                </c:pt>
                <c:pt idx="58">
                  <c:v>4868.4796039765415</c:v>
                </c:pt>
                <c:pt idx="59">
                  <c:v>4868.4796039765415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36-4B86-931D-D447539FA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Valor (R$)</a:t>
                </a:r>
              </a:p>
            </c:rich>
          </c:tx>
          <c:overlay val="1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Evolução do Saldo Devedor — SAC x PRICE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Gráficos!$E$3</c:f>
              <c:strCache>
                <c:ptCount val="1"/>
                <c:pt idx="0">
                  <c:v>Saldo SAC</c:v>
                </c:pt>
              </c:strCache>
            </c:strRef>
          </c:tx>
          <c:spPr>
            <a:ln>
              <a:solidFill>
                <a:srgbClr val="1B6B3A"/>
              </a:solidFill>
              <a:prstDash val="solid"/>
            </a:ln>
          </c:spPr>
          <c:marker>
            <c:symbol val="none"/>
          </c:marker>
          <c:cat>
            <c:numRef>
              <c:f>Gráficos!$B$4:$B$63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Gráficos!$E$4:$E$63</c:f>
              <c:numCache>
                <c:formatCode>_("R$"* #,##0.00_);_("R$"* \(#,##0.00\);_("R$"* "-"??_);_(@_)</c:formatCode>
                <c:ptCount val="60"/>
                <c:pt idx="0">
                  <c:v>477333.33333333331</c:v>
                </c:pt>
                <c:pt idx="1">
                  <c:v>474666.66666666663</c:v>
                </c:pt>
                <c:pt idx="2">
                  <c:v>471999.99999999994</c:v>
                </c:pt>
                <c:pt idx="3">
                  <c:v>469333.33333333326</c:v>
                </c:pt>
                <c:pt idx="4">
                  <c:v>466666.66666666657</c:v>
                </c:pt>
                <c:pt idx="5">
                  <c:v>463999.99999999988</c:v>
                </c:pt>
                <c:pt idx="6">
                  <c:v>461333.3333333332</c:v>
                </c:pt>
                <c:pt idx="7">
                  <c:v>458666.66666666651</c:v>
                </c:pt>
                <c:pt idx="8">
                  <c:v>455999.99999999983</c:v>
                </c:pt>
                <c:pt idx="9">
                  <c:v>453333.33333333314</c:v>
                </c:pt>
                <c:pt idx="10">
                  <c:v>450666.66666666645</c:v>
                </c:pt>
                <c:pt idx="11">
                  <c:v>447999.99999999977</c:v>
                </c:pt>
                <c:pt idx="12">
                  <c:v>445333.33333333308</c:v>
                </c:pt>
                <c:pt idx="13">
                  <c:v>442666.6666666664</c:v>
                </c:pt>
                <c:pt idx="14">
                  <c:v>439999.99999999971</c:v>
                </c:pt>
                <c:pt idx="15">
                  <c:v>437333.33333333302</c:v>
                </c:pt>
                <c:pt idx="16">
                  <c:v>434666.66666666634</c:v>
                </c:pt>
                <c:pt idx="17">
                  <c:v>431999.99999999965</c:v>
                </c:pt>
                <c:pt idx="18">
                  <c:v>429333.33333333296</c:v>
                </c:pt>
                <c:pt idx="19">
                  <c:v>426666.66666666628</c:v>
                </c:pt>
                <c:pt idx="20">
                  <c:v>423999.99999999959</c:v>
                </c:pt>
                <c:pt idx="21">
                  <c:v>421333.33333333291</c:v>
                </c:pt>
                <c:pt idx="22">
                  <c:v>418666.66666666622</c:v>
                </c:pt>
                <c:pt idx="23">
                  <c:v>415999.99999999953</c:v>
                </c:pt>
                <c:pt idx="24">
                  <c:v>413333.33333333285</c:v>
                </c:pt>
                <c:pt idx="25">
                  <c:v>410666.66666666616</c:v>
                </c:pt>
                <c:pt idx="26">
                  <c:v>407999.99999999948</c:v>
                </c:pt>
                <c:pt idx="27">
                  <c:v>405333.33333333279</c:v>
                </c:pt>
                <c:pt idx="28">
                  <c:v>402666.6666666661</c:v>
                </c:pt>
                <c:pt idx="29">
                  <c:v>399999.99999999942</c:v>
                </c:pt>
                <c:pt idx="30">
                  <c:v>397333.33333333273</c:v>
                </c:pt>
                <c:pt idx="31">
                  <c:v>394666.66666666605</c:v>
                </c:pt>
                <c:pt idx="32">
                  <c:v>391999.99999999936</c:v>
                </c:pt>
                <c:pt idx="33">
                  <c:v>389333.33333333267</c:v>
                </c:pt>
                <c:pt idx="34">
                  <c:v>386666.66666666599</c:v>
                </c:pt>
                <c:pt idx="35">
                  <c:v>383999.9999999993</c:v>
                </c:pt>
                <c:pt idx="36">
                  <c:v>381333.33333333262</c:v>
                </c:pt>
                <c:pt idx="37">
                  <c:v>378666.66666666593</c:v>
                </c:pt>
                <c:pt idx="38">
                  <c:v>375999.99999999924</c:v>
                </c:pt>
                <c:pt idx="39">
                  <c:v>373333.33333333256</c:v>
                </c:pt>
                <c:pt idx="40">
                  <c:v>370666.66666666587</c:v>
                </c:pt>
                <c:pt idx="41">
                  <c:v>367999.99999999919</c:v>
                </c:pt>
                <c:pt idx="42">
                  <c:v>365333.3333333325</c:v>
                </c:pt>
                <c:pt idx="43">
                  <c:v>362666.66666666581</c:v>
                </c:pt>
                <c:pt idx="44">
                  <c:v>359999.99999999913</c:v>
                </c:pt>
                <c:pt idx="45">
                  <c:v>357333.33333333244</c:v>
                </c:pt>
                <c:pt idx="46">
                  <c:v>354666.66666666575</c:v>
                </c:pt>
                <c:pt idx="47">
                  <c:v>351999.99999999907</c:v>
                </c:pt>
                <c:pt idx="48">
                  <c:v>349333.33333333238</c:v>
                </c:pt>
                <c:pt idx="49">
                  <c:v>346666.6666666657</c:v>
                </c:pt>
                <c:pt idx="50">
                  <c:v>343999.99999999901</c:v>
                </c:pt>
                <c:pt idx="51">
                  <c:v>341333.33333333232</c:v>
                </c:pt>
                <c:pt idx="52">
                  <c:v>338666.66666666564</c:v>
                </c:pt>
                <c:pt idx="53">
                  <c:v>335999.99999999895</c:v>
                </c:pt>
                <c:pt idx="54">
                  <c:v>333333.33333333227</c:v>
                </c:pt>
                <c:pt idx="55">
                  <c:v>330666.66666666558</c:v>
                </c:pt>
                <c:pt idx="56">
                  <c:v>327999.99999999889</c:v>
                </c:pt>
                <c:pt idx="57">
                  <c:v>325333.33333333221</c:v>
                </c:pt>
                <c:pt idx="58">
                  <c:v>322666.66666666552</c:v>
                </c:pt>
                <c:pt idx="59">
                  <c:v>319999.99999999884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A2-41A8-A8C6-F101B8CA6189}"/>
            </c:ext>
          </c:extLst>
        </c:ser>
        <c:ser>
          <c:idx val="1"/>
          <c:order val="1"/>
          <c:tx>
            <c:strRef>
              <c:f>Gráficos!$F$3</c:f>
              <c:strCache>
                <c:ptCount val="1"/>
                <c:pt idx="0">
                  <c:v>Saldo PRICE</c:v>
                </c:pt>
              </c:strCache>
            </c:strRef>
          </c:tx>
          <c:spPr>
            <a:ln>
              <a:solidFill>
                <a:srgbClr val="F59E0B"/>
              </a:solidFill>
              <a:prstDash val="solid"/>
            </a:ln>
          </c:spPr>
          <c:marker>
            <c:symbol val="none"/>
          </c:marker>
          <c:cat>
            <c:numRef>
              <c:f>Gráficos!$B$4:$B$63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Gráficos!$F$4:$F$63</c:f>
              <c:numCache>
                <c:formatCode>_("R$"* #,##0.00_);_("R$"* \(#,##0.00\);_("R$"* "-"??_);_(@_)</c:formatCode>
                <c:ptCount val="60"/>
                <c:pt idx="0">
                  <c:v>478731.52039602346</c:v>
                </c:pt>
                <c:pt idx="1">
                  <c:v>477453.52719501709</c:v>
                </c:pt>
                <c:pt idx="2">
                  <c:v>476165.94904500316</c:v>
                </c:pt>
                <c:pt idx="3">
                  <c:v>474868.71405886416</c:v>
                </c:pt>
                <c:pt idx="4">
                  <c:v>473561.74981032911</c:v>
                </c:pt>
                <c:pt idx="5">
                  <c:v>472244.98332993005</c:v>
                </c:pt>
                <c:pt idx="6">
                  <c:v>470918.34110092797</c:v>
                </c:pt>
                <c:pt idx="7">
                  <c:v>469581.74905520841</c:v>
                </c:pt>
                <c:pt idx="8">
                  <c:v>468235.13256914594</c:v>
                </c:pt>
                <c:pt idx="9">
                  <c:v>466878.41645943798</c:v>
                </c:pt>
                <c:pt idx="10">
                  <c:v>465511.52497890725</c:v>
                </c:pt>
                <c:pt idx="11">
                  <c:v>464134.38181227254</c:v>
                </c:pt>
                <c:pt idx="12">
                  <c:v>462746.91007188807</c:v>
                </c:pt>
                <c:pt idx="13">
                  <c:v>461349.03229345067</c:v>
                </c:pt>
                <c:pt idx="14">
                  <c:v>459940.67043167498</c:v>
                </c:pt>
                <c:pt idx="15">
                  <c:v>458521.74585593602</c:v>
                </c:pt>
                <c:pt idx="16">
                  <c:v>457092.17934587901</c:v>
                </c:pt>
                <c:pt idx="17">
                  <c:v>455651.89108699653</c:v>
                </c:pt>
                <c:pt idx="18">
                  <c:v>454200.80066617246</c:v>
                </c:pt>
                <c:pt idx="19">
                  <c:v>452738.82706719224</c:v>
                </c:pt>
                <c:pt idx="20">
                  <c:v>451265.88866621966</c:v>
                </c:pt>
                <c:pt idx="21">
                  <c:v>449781.90322723979</c:v>
                </c:pt>
                <c:pt idx="22">
                  <c:v>448286.78789746756</c:v>
                </c:pt>
                <c:pt idx="23">
                  <c:v>446780.45920272201</c:v>
                </c:pt>
                <c:pt idx="24">
                  <c:v>445262.83304276585</c:v>
                </c:pt>
                <c:pt idx="25">
                  <c:v>443733.82468661008</c:v>
                </c:pt>
                <c:pt idx="26">
                  <c:v>442193.34876778314</c:v>
                </c:pt>
                <c:pt idx="27">
                  <c:v>440641.31927956495</c:v>
                </c:pt>
                <c:pt idx="28">
                  <c:v>439077.64957018517</c:v>
                </c:pt>
                <c:pt idx="29">
                  <c:v>437502.25233798503</c:v>
                </c:pt>
                <c:pt idx="30">
                  <c:v>435915.03962654335</c:v>
                </c:pt>
                <c:pt idx="31">
                  <c:v>434315.92281976587</c:v>
                </c:pt>
                <c:pt idx="32">
                  <c:v>432704.8126369376</c:v>
                </c:pt>
                <c:pt idx="33">
                  <c:v>431081.61912773811</c:v>
                </c:pt>
                <c:pt idx="34">
                  <c:v>429446.25166721962</c:v>
                </c:pt>
                <c:pt idx="35">
                  <c:v>427798.61895074724</c:v>
                </c:pt>
                <c:pt idx="36">
                  <c:v>426138.62898890133</c:v>
                </c:pt>
                <c:pt idx="37">
                  <c:v>424466.18910234154</c:v>
                </c:pt>
                <c:pt idx="38">
                  <c:v>422781.20591663255</c:v>
                </c:pt>
                <c:pt idx="39">
                  <c:v>421083.58535703074</c:v>
                </c:pt>
                <c:pt idx="40">
                  <c:v>419373.23264323192</c:v>
                </c:pt>
                <c:pt idx="41">
                  <c:v>417650.0522840796</c:v>
                </c:pt>
                <c:pt idx="42">
                  <c:v>415913.94807223364</c:v>
                </c:pt>
                <c:pt idx="43">
                  <c:v>414164.82307879883</c:v>
                </c:pt>
                <c:pt idx="44">
                  <c:v>412402.57964791328</c:v>
                </c:pt>
                <c:pt idx="45">
                  <c:v>410627.11939129612</c:v>
                </c:pt>
                <c:pt idx="46">
                  <c:v>408838.3431827543</c:v>
                </c:pt>
                <c:pt idx="47">
                  <c:v>407036.15115264844</c:v>
                </c:pt>
                <c:pt idx="48">
                  <c:v>405220.44268231676</c:v>
                </c:pt>
                <c:pt idx="49">
                  <c:v>403391.11639845761</c:v>
                </c:pt>
                <c:pt idx="50">
                  <c:v>401548.0701674695</c:v>
                </c:pt>
                <c:pt idx="51">
                  <c:v>399691.201089749</c:v>
                </c:pt>
                <c:pt idx="52">
                  <c:v>397820.40549394558</c:v>
                </c:pt>
                <c:pt idx="53">
                  <c:v>395935.57893117366</c:v>
                </c:pt>
                <c:pt idx="54">
                  <c:v>394036.6161691809</c:v>
                </c:pt>
                <c:pt idx="55">
                  <c:v>392123.41118647321</c:v>
                </c:pt>
                <c:pt idx="56">
                  <c:v>390195.85716639523</c:v>
                </c:pt>
                <c:pt idx="57">
                  <c:v>388253.84649116668</c:v>
                </c:pt>
                <c:pt idx="58">
                  <c:v>386297.2707358739</c:v>
                </c:pt>
                <c:pt idx="59">
                  <c:v>384326.02066241641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A2-41A8-A8C6-F101B8CA6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Saldo (R$)</a:t>
                </a:r>
              </a:p>
            </c:rich>
          </c:tx>
          <c:overlay val="1"/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1080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83</xdr:row>
      <xdr:rowOff>0</xdr:rowOff>
    </xdr:from>
    <xdr:ext cx="10800000" cy="57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6B3A"/>
  </sheetPr>
  <dimension ref="B1:J377"/>
  <sheetViews>
    <sheetView tabSelected="1" workbookViewId="0">
      <selection activeCell="E377" sqref="E377"/>
    </sheetView>
  </sheetViews>
  <sheetFormatPr defaultRowHeight="14.4" x14ac:dyDescent="0.3"/>
  <cols>
    <col min="1" max="1" width="4" customWidth="1"/>
    <col min="2" max="2" width="28" customWidth="1"/>
    <col min="3" max="3" width="18" customWidth="1"/>
    <col min="4" max="4" width="15.21875" customWidth="1"/>
    <col min="5" max="5" width="16.77734375" customWidth="1"/>
    <col min="6" max="6" width="18.109375" customWidth="1"/>
    <col min="7" max="7" width="6" customWidth="1"/>
    <col min="8" max="8" width="17.88671875" customWidth="1"/>
    <col min="9" max="9" width="16" customWidth="1"/>
    <col min="10" max="10" width="18.21875" customWidth="1"/>
  </cols>
  <sheetData>
    <row r="1" spans="2:10" x14ac:dyDescent="0.3">
      <c r="B1" s="11" t="s">
        <v>0</v>
      </c>
      <c r="C1" s="9"/>
      <c r="D1" s="9"/>
      <c r="E1" s="9"/>
      <c r="F1" s="9"/>
      <c r="G1" s="9"/>
      <c r="H1" s="9"/>
      <c r="I1" s="9"/>
    </row>
    <row r="2" spans="2:10" x14ac:dyDescent="0.3">
      <c r="B2" s="30" t="s">
        <v>46</v>
      </c>
      <c r="C2" s="9"/>
      <c r="D2" s="9"/>
      <c r="E2" s="9"/>
      <c r="F2" s="9"/>
      <c r="G2" s="9"/>
      <c r="H2" s="9"/>
      <c r="I2" s="9"/>
    </row>
    <row r="4" spans="2:10" x14ac:dyDescent="0.3">
      <c r="B4" s="10" t="s">
        <v>1</v>
      </c>
      <c r="C4" s="9"/>
    </row>
    <row r="5" spans="2:10" ht="17.399999999999999" x14ac:dyDescent="0.3">
      <c r="B5" s="1" t="s">
        <v>2</v>
      </c>
      <c r="C5" s="17">
        <v>600000</v>
      </c>
    </row>
    <row r="6" spans="2:10" ht="17.399999999999999" x14ac:dyDescent="0.3">
      <c r="B6" s="1" t="s">
        <v>3</v>
      </c>
      <c r="C6" s="16">
        <v>0.2</v>
      </c>
    </row>
    <row r="7" spans="2:10" ht="29.4" thickBot="1" x14ac:dyDescent="0.35">
      <c r="B7" s="1" t="s">
        <v>4</v>
      </c>
      <c r="C7" s="15">
        <v>15</v>
      </c>
    </row>
    <row r="8" spans="2:10" ht="18" thickBot="1" x14ac:dyDescent="0.35">
      <c r="B8" s="1" t="s">
        <v>5</v>
      </c>
      <c r="C8" s="2" t="s">
        <v>6</v>
      </c>
    </row>
    <row r="9" spans="2:10" ht="18" thickBot="1" x14ac:dyDescent="0.35">
      <c r="B9" s="1" t="s">
        <v>7</v>
      </c>
      <c r="C9" s="18">
        <f>(C5*C6)</f>
        <v>120000</v>
      </c>
    </row>
    <row r="10" spans="2:10" ht="17.399999999999999" x14ac:dyDescent="0.3">
      <c r="B10" s="3" t="s">
        <v>8</v>
      </c>
      <c r="C10" s="19">
        <f>C5-C9</f>
        <v>480000</v>
      </c>
    </row>
    <row r="11" spans="2:10" ht="17.399999999999999" x14ac:dyDescent="0.3">
      <c r="B11" s="1" t="s">
        <v>9</v>
      </c>
      <c r="C11" s="4">
        <f>C7*12</f>
        <v>180</v>
      </c>
    </row>
    <row r="14" spans="2:10" ht="15" thickBot="1" x14ac:dyDescent="0.35"/>
    <row r="15" spans="2:10" ht="15" thickBot="1" x14ac:dyDescent="0.35">
      <c r="B15" s="27" t="s">
        <v>10</v>
      </c>
      <c r="C15" s="25"/>
      <c r="D15" s="25"/>
      <c r="E15" s="25"/>
      <c r="F15" s="26"/>
      <c r="H15" s="24" t="s">
        <v>11</v>
      </c>
      <c r="I15" s="25"/>
      <c r="J15" s="26"/>
    </row>
    <row r="16" spans="2:10" ht="16.2" thickBot="1" x14ac:dyDescent="0.35">
      <c r="B16" s="34"/>
      <c r="C16" s="35" t="s">
        <v>12</v>
      </c>
      <c r="D16" s="36" t="s">
        <v>13</v>
      </c>
      <c r="E16" s="35" t="s">
        <v>14</v>
      </c>
      <c r="F16" s="37" t="s">
        <v>15</v>
      </c>
      <c r="H16" s="38" t="s">
        <v>16</v>
      </c>
      <c r="I16" s="40" t="s">
        <v>47</v>
      </c>
      <c r="J16" s="39" t="s">
        <v>15</v>
      </c>
    </row>
    <row r="17" spans="2:10" x14ac:dyDescent="0.3">
      <c r="B17" s="32">
        <v>1</v>
      </c>
      <c r="C17" s="33">
        <f t="shared" ref="C17:C80" si="0">IF(B17&gt;$C$11,"", $C$10/$C$11)</f>
        <v>2666.6666666666665</v>
      </c>
      <c r="D17" s="33">
        <f>IF(B17&gt;$C$11,"", $C$10*$C$8)</f>
        <v>3600</v>
      </c>
      <c r="E17" s="33">
        <f t="shared" ref="E17:E80" si="1">IF(B17&gt;$C$11,"", C17+D17)</f>
        <v>6266.6666666666661</v>
      </c>
      <c r="F17" s="33">
        <f>IF(B17&gt;$C$11,"", $C$10-C17)</f>
        <v>477333.33333333331</v>
      </c>
      <c r="H17" s="33">
        <f>IF(B17&gt;$C$11,"", $C$10*($C$8*(1+$C$8)^$C$11)/((1+$C$8)^$C$11-1))</f>
        <v>4868.4796039765415</v>
      </c>
      <c r="I17" s="33">
        <f>IF(B17&gt;$C$11,"", H17-($C$10*$C$8))</f>
        <v>1268.4796039765415</v>
      </c>
      <c r="J17" s="33">
        <f>IF(B17&gt;$C$11,"", $C$10-I17)</f>
        <v>478731.52039602346</v>
      </c>
    </row>
    <row r="18" spans="2:10" x14ac:dyDescent="0.3">
      <c r="B18" s="6">
        <v>2</v>
      </c>
      <c r="C18" s="20">
        <f t="shared" si="0"/>
        <v>2666.6666666666665</v>
      </c>
      <c r="D18" s="20">
        <f>IF(B18&gt;$C$11,"", F17*$C$8)</f>
        <v>3579.9999999999995</v>
      </c>
      <c r="E18" s="20">
        <f t="shared" si="1"/>
        <v>6246.6666666666661</v>
      </c>
      <c r="F18" s="20">
        <f t="shared" ref="F18:F81" si="2">IF(B18&gt;$C$11,"", F17-C18)</f>
        <v>474666.66666666663</v>
      </c>
      <c r="H18" s="20">
        <f>IF(B18&gt;$C$11,"", $C$10*($C$8*(1+$C$8)^$C$11)/((1+$C$8)^$C$11-1))</f>
        <v>4868.4796039765415</v>
      </c>
      <c r="I18" s="20">
        <f>IF(B18&gt;$C$11,"", H18-(J17*$C$8))</f>
        <v>1277.9932010063658</v>
      </c>
      <c r="J18" s="20">
        <f t="shared" ref="J18:J81" si="3">IF(B18&gt;$C$11,"", J17-I18)</f>
        <v>477453.52719501709</v>
      </c>
    </row>
    <row r="19" spans="2:10" x14ac:dyDescent="0.3">
      <c r="B19" s="6">
        <v>3</v>
      </c>
      <c r="C19" s="20">
        <f t="shared" si="0"/>
        <v>2666.6666666666665</v>
      </c>
      <c r="D19" s="20">
        <f>IF(B19&gt;$C$11,"", F18*$C$8)</f>
        <v>3559.9999999999995</v>
      </c>
      <c r="E19" s="20">
        <f t="shared" si="1"/>
        <v>6226.6666666666661</v>
      </c>
      <c r="F19" s="20">
        <f t="shared" si="2"/>
        <v>471999.99999999994</v>
      </c>
      <c r="H19" s="20">
        <f>IF(B19&gt;$C$11,"", $C$10*($C$8*(1+$C$8)^$C$11)/((1+$C$8)^$C$11-1))</f>
        <v>4868.4796039765415</v>
      </c>
      <c r="I19" s="20">
        <f>IF(B19&gt;$C$11,"", H19-(J18*$C$8))</f>
        <v>1287.5781500139133</v>
      </c>
      <c r="J19" s="20">
        <f t="shared" si="3"/>
        <v>476165.94904500316</v>
      </c>
    </row>
    <row r="20" spans="2:10" x14ac:dyDescent="0.3">
      <c r="B20" s="6">
        <v>4</v>
      </c>
      <c r="C20" s="20">
        <f t="shared" si="0"/>
        <v>2666.6666666666665</v>
      </c>
      <c r="D20" s="20">
        <f>IF(B20&gt;$C$11,"", F19*$C$8)</f>
        <v>3539.9999999999995</v>
      </c>
      <c r="E20" s="20">
        <f t="shared" si="1"/>
        <v>6206.6666666666661</v>
      </c>
      <c r="F20" s="20">
        <f t="shared" si="2"/>
        <v>469333.33333333326</v>
      </c>
      <c r="H20" s="20">
        <f>IF(B20&gt;$C$11,"", $C$10*($C$8*(1+$C$8)^$C$11)/((1+$C$8)^$C$11-1))</f>
        <v>4868.4796039765415</v>
      </c>
      <c r="I20" s="20">
        <f>IF(B20&gt;$C$11,"", H20-(J19*$C$8))</f>
        <v>1297.234986139018</v>
      </c>
      <c r="J20" s="20">
        <f t="shared" si="3"/>
        <v>474868.71405886416</v>
      </c>
    </row>
    <row r="21" spans="2:10" x14ac:dyDescent="0.3">
      <c r="B21" s="6">
        <v>5</v>
      </c>
      <c r="C21" s="20">
        <f t="shared" si="0"/>
        <v>2666.6666666666665</v>
      </c>
      <c r="D21" s="20">
        <f>IF(B21&gt;$C$11,"", F20*$C$8)</f>
        <v>3519.9999999999991</v>
      </c>
      <c r="E21" s="20">
        <f t="shared" si="1"/>
        <v>6186.6666666666661</v>
      </c>
      <c r="F21" s="20">
        <f t="shared" si="2"/>
        <v>466666.66666666657</v>
      </c>
      <c r="H21" s="20">
        <f>IF(B21&gt;$C$11,"", $C$10*($C$8*(1+$C$8)^$C$11)/((1+$C$8)^$C$11-1))</f>
        <v>4868.4796039765415</v>
      </c>
      <c r="I21" s="20">
        <f>IF(B21&gt;$C$11,"", H21-(J20*$C$8))</f>
        <v>1306.9642485350605</v>
      </c>
      <c r="J21" s="20">
        <f t="shared" si="3"/>
        <v>473561.74981032911</v>
      </c>
    </row>
    <row r="22" spans="2:10" x14ac:dyDescent="0.3">
      <c r="B22" s="6">
        <v>6</v>
      </c>
      <c r="C22" s="20">
        <f t="shared" si="0"/>
        <v>2666.6666666666665</v>
      </c>
      <c r="D22" s="20">
        <f>IF(B22&gt;$C$11,"", F21*$C$8)</f>
        <v>3499.9999999999991</v>
      </c>
      <c r="E22" s="20">
        <f t="shared" si="1"/>
        <v>6166.6666666666661</v>
      </c>
      <c r="F22" s="20">
        <f t="shared" si="2"/>
        <v>463999.99999999988</v>
      </c>
      <c r="H22" s="20">
        <f>IF(B22&gt;$C$11,"", $C$10*($C$8*(1+$C$8)^$C$11)/((1+$C$8)^$C$11-1))</f>
        <v>4868.4796039765415</v>
      </c>
      <c r="I22" s="20">
        <f>IF(B22&gt;$C$11,"", H22-(J21*$C$8))</f>
        <v>1316.7664803990733</v>
      </c>
      <c r="J22" s="20">
        <f t="shared" si="3"/>
        <v>472244.98332993005</v>
      </c>
    </row>
    <row r="23" spans="2:10" x14ac:dyDescent="0.3">
      <c r="B23" s="6">
        <v>7</v>
      </c>
      <c r="C23" s="20">
        <f t="shared" si="0"/>
        <v>2666.6666666666665</v>
      </c>
      <c r="D23" s="20">
        <f>IF(B23&gt;$C$11,"", F22*$C$8)</f>
        <v>3479.9999999999991</v>
      </c>
      <c r="E23" s="20">
        <f t="shared" si="1"/>
        <v>6146.6666666666661</v>
      </c>
      <c r="F23" s="20">
        <f t="shared" si="2"/>
        <v>461333.3333333332</v>
      </c>
      <c r="H23" s="20">
        <f>IF(B23&gt;$C$11,"", $C$10*($C$8*(1+$C$8)^$C$11)/((1+$C$8)^$C$11-1))</f>
        <v>4868.4796039765415</v>
      </c>
      <c r="I23" s="20">
        <f>IF(B23&gt;$C$11,"", H23-(J22*$C$8))</f>
        <v>1326.6422290020664</v>
      </c>
      <c r="J23" s="20">
        <f t="shared" si="3"/>
        <v>470918.34110092797</v>
      </c>
    </row>
    <row r="24" spans="2:10" x14ac:dyDescent="0.3">
      <c r="B24" s="6">
        <v>8</v>
      </c>
      <c r="C24" s="20">
        <f t="shared" si="0"/>
        <v>2666.6666666666665</v>
      </c>
      <c r="D24" s="20">
        <f>IF(B24&gt;$C$11,"", F23*$C$8)</f>
        <v>3459.9999999999986</v>
      </c>
      <c r="E24" s="20">
        <f t="shared" si="1"/>
        <v>6126.6666666666652</v>
      </c>
      <c r="F24" s="20">
        <f t="shared" si="2"/>
        <v>458666.66666666651</v>
      </c>
      <c r="H24" s="20">
        <f>IF(B24&gt;$C$11,"", $C$10*($C$8*(1+$C$8)^$C$11)/((1+$C$8)^$C$11-1))</f>
        <v>4868.4796039765415</v>
      </c>
      <c r="I24" s="20">
        <f>IF(B24&gt;$C$11,"", H24-(J23*$C$8))</f>
        <v>1336.5920457195821</v>
      </c>
      <c r="J24" s="20">
        <f t="shared" si="3"/>
        <v>469581.74905520841</v>
      </c>
    </row>
    <row r="25" spans="2:10" x14ac:dyDescent="0.3">
      <c r="B25" s="6">
        <v>9</v>
      </c>
      <c r="C25" s="20">
        <f t="shared" si="0"/>
        <v>2666.6666666666665</v>
      </c>
      <c r="D25" s="20">
        <f>IF(B25&gt;$C$11,"", F24*$C$8)</f>
        <v>3439.9999999999986</v>
      </c>
      <c r="E25" s="20">
        <f t="shared" si="1"/>
        <v>6106.6666666666652</v>
      </c>
      <c r="F25" s="20">
        <f t="shared" si="2"/>
        <v>455999.99999999983</v>
      </c>
      <c r="H25" s="20">
        <f>IF(B25&gt;$C$11,"", $C$10*($C$8*(1+$C$8)^$C$11)/((1+$C$8)^$C$11-1))</f>
        <v>4868.4796039765415</v>
      </c>
      <c r="I25" s="20">
        <f>IF(B25&gt;$C$11,"", H25-(J24*$C$8))</f>
        <v>1346.6164860624785</v>
      </c>
      <c r="J25" s="20">
        <f t="shared" si="3"/>
        <v>468235.13256914594</v>
      </c>
    </row>
    <row r="26" spans="2:10" x14ac:dyDescent="0.3">
      <c r="B26" s="6">
        <v>10</v>
      </c>
      <c r="C26" s="20">
        <f t="shared" si="0"/>
        <v>2666.6666666666665</v>
      </c>
      <c r="D26" s="20">
        <f>IF(B26&gt;$C$11,"", F25*$C$8)</f>
        <v>3419.9999999999986</v>
      </c>
      <c r="E26" s="20">
        <f t="shared" si="1"/>
        <v>6086.6666666666652</v>
      </c>
      <c r="F26" s="20">
        <f t="shared" si="2"/>
        <v>453333.33333333314</v>
      </c>
      <c r="H26" s="20">
        <f>IF(B26&gt;$C$11,"", $C$10*($C$8*(1+$C$8)^$C$11)/((1+$C$8)^$C$11-1))</f>
        <v>4868.4796039765415</v>
      </c>
      <c r="I26" s="20">
        <f>IF(B26&gt;$C$11,"", H26-(J25*$C$8))</f>
        <v>1356.716109707947</v>
      </c>
      <c r="J26" s="20">
        <f t="shared" si="3"/>
        <v>466878.41645943798</v>
      </c>
    </row>
    <row r="27" spans="2:10" x14ac:dyDescent="0.3">
      <c r="B27" s="6">
        <v>11</v>
      </c>
      <c r="C27" s="20">
        <f t="shared" si="0"/>
        <v>2666.6666666666665</v>
      </c>
      <c r="D27" s="20">
        <f>IF(B27&gt;$C$11,"", F26*$C$8)</f>
        <v>3399.9999999999986</v>
      </c>
      <c r="E27" s="20">
        <f t="shared" si="1"/>
        <v>6066.6666666666652</v>
      </c>
      <c r="F27" s="20">
        <f t="shared" si="2"/>
        <v>450666.66666666645</v>
      </c>
      <c r="H27" s="20">
        <f>IF(B27&gt;$C$11,"", $C$10*($C$8*(1+$C$8)^$C$11)/((1+$C$8)^$C$11-1))</f>
        <v>4868.4796039765415</v>
      </c>
      <c r="I27" s="20">
        <f>IF(B27&gt;$C$11,"", H27-(J26*$C$8))</f>
        <v>1366.8914805307568</v>
      </c>
      <c r="J27" s="20">
        <f t="shared" si="3"/>
        <v>465511.52497890725</v>
      </c>
    </row>
    <row r="28" spans="2:10" x14ac:dyDescent="0.3">
      <c r="B28" s="6">
        <v>12</v>
      </c>
      <c r="C28" s="20">
        <f t="shared" si="0"/>
        <v>2666.6666666666665</v>
      </c>
      <c r="D28" s="20">
        <f>IF(B28&gt;$C$11,"", F27*$C$8)</f>
        <v>3379.9999999999982</v>
      </c>
      <c r="E28" s="20">
        <f t="shared" si="1"/>
        <v>6046.6666666666642</v>
      </c>
      <c r="F28" s="20">
        <f t="shared" si="2"/>
        <v>447999.99999999977</v>
      </c>
      <c r="H28" s="20">
        <f>IF(B28&gt;$C$11,"", $C$10*($C$8*(1+$C$8)^$C$11)/((1+$C$8)^$C$11-1))</f>
        <v>4868.4796039765415</v>
      </c>
      <c r="I28" s="20">
        <f>IF(B28&gt;$C$11,"", H28-(J27*$C$8))</f>
        <v>1377.1431666347371</v>
      </c>
      <c r="J28" s="20">
        <f t="shared" si="3"/>
        <v>464134.38181227254</v>
      </c>
    </row>
    <row r="29" spans="2:10" x14ac:dyDescent="0.3">
      <c r="B29" s="6">
        <v>13</v>
      </c>
      <c r="C29" s="20">
        <f t="shared" si="0"/>
        <v>2666.6666666666665</v>
      </c>
      <c r="D29" s="20">
        <f>IF(B29&gt;$C$11,"", F28*$C$8)</f>
        <v>3359.9999999999982</v>
      </c>
      <c r="E29" s="20">
        <f t="shared" si="1"/>
        <v>6026.6666666666642</v>
      </c>
      <c r="F29" s="20">
        <f t="shared" si="2"/>
        <v>445333.33333333308</v>
      </c>
      <c r="H29" s="20">
        <f>IF(B29&gt;$C$11,"", $C$10*($C$8*(1+$C$8)^$C$11)/((1+$C$8)^$C$11-1))</f>
        <v>4868.4796039765415</v>
      </c>
      <c r="I29" s="20">
        <f>IF(B29&gt;$C$11,"", H29-(J28*$C$8))</f>
        <v>1387.4717403844975</v>
      </c>
      <c r="J29" s="20">
        <f t="shared" si="3"/>
        <v>462746.91007188807</v>
      </c>
    </row>
    <row r="30" spans="2:10" x14ac:dyDescent="0.3">
      <c r="B30" s="6">
        <v>14</v>
      </c>
      <c r="C30" s="20">
        <f t="shared" si="0"/>
        <v>2666.6666666666665</v>
      </c>
      <c r="D30" s="20">
        <f>IF(B30&gt;$C$11,"", F29*$C$8)</f>
        <v>3339.9999999999982</v>
      </c>
      <c r="E30" s="20">
        <f t="shared" si="1"/>
        <v>6006.6666666666642</v>
      </c>
      <c r="F30" s="20">
        <f t="shared" si="2"/>
        <v>442666.6666666664</v>
      </c>
      <c r="H30" s="20">
        <f>IF(B30&gt;$C$11,"", $C$10*($C$8*(1+$C$8)^$C$11)/((1+$C$8)^$C$11-1))</f>
        <v>4868.4796039765415</v>
      </c>
      <c r="I30" s="20">
        <f>IF(B30&gt;$C$11,"", H30-(J29*$C$8))</f>
        <v>1397.877778437381</v>
      </c>
      <c r="J30" s="20">
        <f t="shared" si="3"/>
        <v>461349.03229345067</v>
      </c>
    </row>
    <row r="31" spans="2:10" x14ac:dyDescent="0.3">
      <c r="B31" s="6">
        <v>15</v>
      </c>
      <c r="C31" s="20">
        <f t="shared" si="0"/>
        <v>2666.6666666666665</v>
      </c>
      <c r="D31" s="20">
        <f>IF(B31&gt;$C$11,"", F30*$C$8)</f>
        <v>3319.9999999999977</v>
      </c>
      <c r="E31" s="20">
        <f t="shared" si="1"/>
        <v>5986.6666666666642</v>
      </c>
      <c r="F31" s="20">
        <f t="shared" si="2"/>
        <v>439999.99999999971</v>
      </c>
      <c r="H31" s="20">
        <f>IF(B31&gt;$C$11,"", $C$10*($C$8*(1+$C$8)^$C$11)/((1+$C$8)^$C$11-1))</f>
        <v>4868.4796039765415</v>
      </c>
      <c r="I31" s="20">
        <f>IF(B31&gt;$C$11,"", H31-(J30*$C$8))</f>
        <v>1408.3618617756615</v>
      </c>
      <c r="J31" s="20">
        <f t="shared" si="3"/>
        <v>459940.67043167498</v>
      </c>
    </row>
    <row r="32" spans="2:10" x14ac:dyDescent="0.3">
      <c r="B32" s="6">
        <v>16</v>
      </c>
      <c r="C32" s="20">
        <f t="shared" si="0"/>
        <v>2666.6666666666665</v>
      </c>
      <c r="D32" s="20">
        <f>IF(B32&gt;$C$11,"", F31*$C$8)</f>
        <v>3299.9999999999977</v>
      </c>
      <c r="E32" s="20">
        <f t="shared" si="1"/>
        <v>5966.6666666666642</v>
      </c>
      <c r="F32" s="20">
        <f t="shared" si="2"/>
        <v>437333.33333333302</v>
      </c>
      <c r="H32" s="20">
        <f>IF(B32&gt;$C$11,"", $C$10*($C$8*(1+$C$8)^$C$11)/((1+$C$8)^$C$11-1))</f>
        <v>4868.4796039765415</v>
      </c>
      <c r="I32" s="20">
        <f>IF(B32&gt;$C$11,"", H32-(J31*$C$8))</f>
        <v>1418.9245757389795</v>
      </c>
      <c r="J32" s="20">
        <f t="shared" si="3"/>
        <v>458521.74585593602</v>
      </c>
    </row>
    <row r="33" spans="2:10" x14ac:dyDescent="0.3">
      <c r="B33" s="6">
        <v>17</v>
      </c>
      <c r="C33" s="20">
        <f t="shared" si="0"/>
        <v>2666.6666666666665</v>
      </c>
      <c r="D33" s="20">
        <f>IF(B33&gt;$C$11,"", F32*$C$8)</f>
        <v>3279.9999999999977</v>
      </c>
      <c r="E33" s="20">
        <f t="shared" si="1"/>
        <v>5946.6666666666642</v>
      </c>
      <c r="F33" s="20">
        <f t="shared" si="2"/>
        <v>434666.66666666634</v>
      </c>
      <c r="H33" s="20">
        <f>IF(B33&gt;$C$11,"", $C$10*($C$8*(1+$C$8)^$C$11)/((1+$C$8)^$C$11-1))</f>
        <v>4868.4796039765415</v>
      </c>
      <c r="I33" s="20">
        <f>IF(B33&gt;$C$11,"", H33-(J32*$C$8))</f>
        <v>1429.5665100570213</v>
      </c>
      <c r="J33" s="20">
        <f t="shared" si="3"/>
        <v>457092.17934587901</v>
      </c>
    </row>
    <row r="34" spans="2:10" x14ac:dyDescent="0.3">
      <c r="B34" s="6">
        <v>18</v>
      </c>
      <c r="C34" s="20">
        <f t="shared" si="0"/>
        <v>2666.6666666666665</v>
      </c>
      <c r="D34" s="20">
        <f>IF(B34&gt;$C$11,"", F33*$C$8)</f>
        <v>3259.9999999999973</v>
      </c>
      <c r="E34" s="20">
        <f t="shared" si="1"/>
        <v>5926.6666666666642</v>
      </c>
      <c r="F34" s="20">
        <f t="shared" si="2"/>
        <v>431999.99999999965</v>
      </c>
      <c r="H34" s="20">
        <f>IF(B34&gt;$C$11,"", $C$10*($C$8*(1+$C$8)^$C$11)/((1+$C$8)^$C$11-1))</f>
        <v>4868.4796039765415</v>
      </c>
      <c r="I34" s="20">
        <f>IF(B34&gt;$C$11,"", H34-(J33*$C$8))</f>
        <v>1440.2882588824491</v>
      </c>
      <c r="J34" s="20">
        <f t="shared" si="3"/>
        <v>455651.89108699653</v>
      </c>
    </row>
    <row r="35" spans="2:10" x14ac:dyDescent="0.3">
      <c r="B35" s="6">
        <v>19</v>
      </c>
      <c r="C35" s="20">
        <f t="shared" si="0"/>
        <v>2666.6666666666665</v>
      </c>
      <c r="D35" s="20">
        <f>IF(B35&gt;$C$11,"", F34*$C$8)</f>
        <v>3239.9999999999973</v>
      </c>
      <c r="E35" s="20">
        <f t="shared" si="1"/>
        <v>5906.6666666666642</v>
      </c>
      <c r="F35" s="20">
        <f t="shared" si="2"/>
        <v>429333.33333333296</v>
      </c>
      <c r="H35" s="20">
        <f>IF(B35&gt;$C$11,"", $C$10*($C$8*(1+$C$8)^$C$11)/((1+$C$8)^$C$11-1))</f>
        <v>4868.4796039765415</v>
      </c>
      <c r="I35" s="20">
        <f>IF(B35&gt;$C$11,"", H35-(J34*$C$8))</f>
        <v>1451.0904208240677</v>
      </c>
      <c r="J35" s="20">
        <f t="shared" si="3"/>
        <v>454200.80066617246</v>
      </c>
    </row>
    <row r="36" spans="2:10" x14ac:dyDescent="0.3">
      <c r="B36" s="6">
        <v>20</v>
      </c>
      <c r="C36" s="20">
        <f t="shared" si="0"/>
        <v>2666.6666666666665</v>
      </c>
      <c r="D36" s="20">
        <f>IF(B36&gt;$C$11,"", F35*$C$8)</f>
        <v>3219.9999999999973</v>
      </c>
      <c r="E36" s="20">
        <f t="shared" si="1"/>
        <v>5886.6666666666642</v>
      </c>
      <c r="F36" s="20">
        <f t="shared" si="2"/>
        <v>426666.66666666628</v>
      </c>
      <c r="H36" s="20">
        <f>IF(B36&gt;$C$11,"", $C$10*($C$8*(1+$C$8)^$C$11)/((1+$C$8)^$C$11-1))</f>
        <v>4868.4796039765415</v>
      </c>
      <c r="I36" s="20">
        <f>IF(B36&gt;$C$11,"", H36-(J35*$C$8))</f>
        <v>1461.973598980248</v>
      </c>
      <c r="J36" s="20">
        <f t="shared" si="3"/>
        <v>452738.82706719224</v>
      </c>
    </row>
    <row r="37" spans="2:10" x14ac:dyDescent="0.3">
      <c r="B37" s="6">
        <v>21</v>
      </c>
      <c r="C37" s="20">
        <f t="shared" si="0"/>
        <v>2666.6666666666665</v>
      </c>
      <c r="D37" s="20">
        <f>IF(B37&gt;$C$11,"", F36*$C$8)</f>
        <v>3199.9999999999968</v>
      </c>
      <c r="E37" s="20">
        <f t="shared" si="1"/>
        <v>5866.6666666666633</v>
      </c>
      <c r="F37" s="20">
        <f t="shared" si="2"/>
        <v>423999.99999999959</v>
      </c>
      <c r="H37" s="20">
        <f>IF(B37&gt;$C$11,"", $C$10*($C$8*(1+$C$8)^$C$11)/((1+$C$8)^$C$11-1))</f>
        <v>4868.4796039765415</v>
      </c>
      <c r="I37" s="20">
        <f>IF(B37&gt;$C$11,"", H37-(J36*$C$8))</f>
        <v>1472.9384009726</v>
      </c>
      <c r="J37" s="20">
        <f t="shared" si="3"/>
        <v>451265.88866621966</v>
      </c>
    </row>
    <row r="38" spans="2:10" x14ac:dyDescent="0.3">
      <c r="B38" s="6">
        <v>22</v>
      </c>
      <c r="C38" s="20">
        <f t="shared" si="0"/>
        <v>2666.6666666666665</v>
      </c>
      <c r="D38" s="20">
        <f>IF(B38&gt;$C$11,"", F37*$C$8)</f>
        <v>3179.9999999999968</v>
      </c>
      <c r="E38" s="20">
        <f t="shared" si="1"/>
        <v>5846.6666666666633</v>
      </c>
      <c r="F38" s="20">
        <f t="shared" si="2"/>
        <v>421333.33333333291</v>
      </c>
      <c r="H38" s="20">
        <f>IF(B38&gt;$C$11,"", $C$10*($C$8*(1+$C$8)^$C$11)/((1+$C$8)^$C$11-1))</f>
        <v>4868.4796039765415</v>
      </c>
      <c r="I38" s="20">
        <f>IF(B38&gt;$C$11,"", H38-(J37*$C$8))</f>
        <v>1483.9854389798943</v>
      </c>
      <c r="J38" s="20">
        <f t="shared" si="3"/>
        <v>449781.90322723979</v>
      </c>
    </row>
    <row r="39" spans="2:10" x14ac:dyDescent="0.3">
      <c r="B39" s="6">
        <v>23</v>
      </c>
      <c r="C39" s="20">
        <f t="shared" si="0"/>
        <v>2666.6666666666665</v>
      </c>
      <c r="D39" s="20">
        <f>IF(B39&gt;$C$11,"", F38*$C$8)</f>
        <v>3159.9999999999968</v>
      </c>
      <c r="E39" s="20">
        <f t="shared" si="1"/>
        <v>5826.6666666666633</v>
      </c>
      <c r="F39" s="20">
        <f t="shared" si="2"/>
        <v>418666.66666666622</v>
      </c>
      <c r="H39" s="20">
        <f>IF(B39&gt;$C$11,"", $C$10*($C$8*(1+$C$8)^$C$11)/((1+$C$8)^$C$11-1))</f>
        <v>4868.4796039765415</v>
      </c>
      <c r="I39" s="20">
        <f>IF(B39&gt;$C$11,"", H39-(J38*$C$8))</f>
        <v>1495.1153297722431</v>
      </c>
      <c r="J39" s="20">
        <f t="shared" si="3"/>
        <v>448286.78789746756</v>
      </c>
    </row>
    <row r="40" spans="2:10" x14ac:dyDescent="0.3">
      <c r="B40" s="6">
        <v>24</v>
      </c>
      <c r="C40" s="20">
        <f t="shared" si="0"/>
        <v>2666.6666666666665</v>
      </c>
      <c r="D40" s="20">
        <f>IF(B40&gt;$C$11,"", F39*$C$8)</f>
        <v>3139.9999999999964</v>
      </c>
      <c r="E40" s="20">
        <f t="shared" si="1"/>
        <v>5806.6666666666624</v>
      </c>
      <c r="F40" s="20">
        <f t="shared" si="2"/>
        <v>415999.99999999953</v>
      </c>
      <c r="H40" s="20">
        <f>IF(B40&gt;$C$11,"", $C$10*($C$8*(1+$C$8)^$C$11)/((1+$C$8)^$C$11-1))</f>
        <v>4868.4796039765415</v>
      </c>
      <c r="I40" s="20">
        <f>IF(B40&gt;$C$11,"", H40-(J39*$C$8))</f>
        <v>1506.3286947455349</v>
      </c>
      <c r="J40" s="20">
        <f t="shared" si="3"/>
        <v>446780.45920272201</v>
      </c>
    </row>
    <row r="41" spans="2:10" x14ac:dyDescent="0.3">
      <c r="B41" s="6">
        <v>25</v>
      </c>
      <c r="C41" s="20">
        <f t="shared" si="0"/>
        <v>2666.6666666666665</v>
      </c>
      <c r="D41" s="20">
        <f>IF(B41&gt;$C$11,"", F40*$C$8)</f>
        <v>3119.9999999999964</v>
      </c>
      <c r="E41" s="20">
        <f t="shared" si="1"/>
        <v>5786.6666666666624</v>
      </c>
      <c r="F41" s="20">
        <f t="shared" si="2"/>
        <v>413333.33333333285</v>
      </c>
      <c r="H41" s="20">
        <f>IF(B41&gt;$C$11,"", $C$10*($C$8*(1+$C$8)^$C$11)/((1+$C$8)^$C$11-1))</f>
        <v>4868.4796039765415</v>
      </c>
      <c r="I41" s="20">
        <f>IF(B41&gt;$C$11,"", H41-(J40*$C$8))</f>
        <v>1517.6261599561267</v>
      </c>
      <c r="J41" s="20">
        <f t="shared" si="3"/>
        <v>445262.83304276585</v>
      </c>
    </row>
    <row r="42" spans="2:10" x14ac:dyDescent="0.3">
      <c r="B42" s="6">
        <v>26</v>
      </c>
      <c r="C42" s="20">
        <f t="shared" si="0"/>
        <v>2666.6666666666665</v>
      </c>
      <c r="D42" s="20">
        <f>IF(B42&gt;$C$11,"", F41*$C$8)</f>
        <v>3099.9999999999964</v>
      </c>
      <c r="E42" s="20">
        <f t="shared" si="1"/>
        <v>5766.6666666666624</v>
      </c>
      <c r="F42" s="20">
        <f t="shared" si="2"/>
        <v>410666.66666666616</v>
      </c>
      <c r="H42" s="20">
        <f>IF(B42&gt;$C$11,"", $C$10*($C$8*(1+$C$8)^$C$11)/((1+$C$8)^$C$11-1))</f>
        <v>4868.4796039765415</v>
      </c>
      <c r="I42" s="20">
        <f>IF(B42&gt;$C$11,"", H42-(J41*$C$8))</f>
        <v>1529.0083561557976</v>
      </c>
      <c r="J42" s="20">
        <f t="shared" si="3"/>
        <v>443733.82468661008</v>
      </c>
    </row>
    <row r="43" spans="2:10" x14ac:dyDescent="0.3">
      <c r="B43" s="6">
        <v>27</v>
      </c>
      <c r="C43" s="20">
        <f t="shared" si="0"/>
        <v>2666.6666666666665</v>
      </c>
      <c r="D43" s="20">
        <f>IF(B43&gt;$C$11,"", F42*$C$8)</f>
        <v>3079.9999999999959</v>
      </c>
      <c r="E43" s="20">
        <f t="shared" si="1"/>
        <v>5746.6666666666624</v>
      </c>
      <c r="F43" s="20">
        <f t="shared" si="2"/>
        <v>407999.99999999948</v>
      </c>
      <c r="H43" s="20">
        <f>IF(B43&gt;$C$11,"", $C$10*($C$8*(1+$C$8)^$C$11)/((1+$C$8)^$C$11-1))</f>
        <v>4868.4796039765415</v>
      </c>
      <c r="I43" s="20">
        <f>IF(B43&gt;$C$11,"", H43-(J42*$C$8))</f>
        <v>1540.4759188269659</v>
      </c>
      <c r="J43" s="20">
        <f t="shared" si="3"/>
        <v>442193.34876778314</v>
      </c>
    </row>
    <row r="44" spans="2:10" x14ac:dyDescent="0.3">
      <c r="B44" s="6">
        <v>28</v>
      </c>
      <c r="C44" s="20">
        <f t="shared" si="0"/>
        <v>2666.6666666666665</v>
      </c>
      <c r="D44" s="20">
        <f>IF(B44&gt;$C$11,"", F43*$C$8)</f>
        <v>3059.9999999999959</v>
      </c>
      <c r="E44" s="20">
        <f t="shared" si="1"/>
        <v>5726.6666666666624</v>
      </c>
      <c r="F44" s="20">
        <f t="shared" si="2"/>
        <v>405333.33333333279</v>
      </c>
      <c r="H44" s="20">
        <f>IF(B44&gt;$C$11,"", $C$10*($C$8*(1+$C$8)^$C$11)/((1+$C$8)^$C$11-1))</f>
        <v>4868.4796039765415</v>
      </c>
      <c r="I44" s="20">
        <f>IF(B44&gt;$C$11,"", H44-(J43*$C$8))</f>
        <v>1552.0294882181679</v>
      </c>
      <c r="J44" s="20">
        <f t="shared" si="3"/>
        <v>440641.31927956495</v>
      </c>
    </row>
    <row r="45" spans="2:10" x14ac:dyDescent="0.3">
      <c r="B45" s="6">
        <v>29</v>
      </c>
      <c r="C45" s="20">
        <f t="shared" si="0"/>
        <v>2666.6666666666665</v>
      </c>
      <c r="D45" s="20">
        <f>IF(B45&gt;$C$11,"", F44*$C$8)</f>
        <v>3039.9999999999959</v>
      </c>
      <c r="E45" s="20">
        <f t="shared" si="1"/>
        <v>5706.6666666666624</v>
      </c>
      <c r="F45" s="20">
        <f t="shared" si="2"/>
        <v>402666.6666666661</v>
      </c>
      <c r="H45" s="20">
        <f>IF(B45&gt;$C$11,"", $C$10*($C$8*(1+$C$8)^$C$11)/((1+$C$8)^$C$11-1))</f>
        <v>4868.4796039765415</v>
      </c>
      <c r="I45" s="20">
        <f>IF(B45&gt;$C$11,"", H45-(J44*$C$8))</f>
        <v>1563.6697093798043</v>
      </c>
      <c r="J45" s="20">
        <f t="shared" si="3"/>
        <v>439077.64957018517</v>
      </c>
    </row>
    <row r="46" spans="2:10" x14ac:dyDescent="0.3">
      <c r="B46" s="6">
        <v>30</v>
      </c>
      <c r="C46" s="20">
        <f t="shared" si="0"/>
        <v>2666.6666666666665</v>
      </c>
      <c r="D46" s="20">
        <f>IF(B46&gt;$C$11,"", F45*$C$8)</f>
        <v>3019.9999999999955</v>
      </c>
      <c r="E46" s="20">
        <f t="shared" si="1"/>
        <v>5686.6666666666624</v>
      </c>
      <c r="F46" s="20">
        <f t="shared" si="2"/>
        <v>399999.99999999942</v>
      </c>
      <c r="H46" s="20">
        <f>IF(B46&gt;$C$11,"", $C$10*($C$8*(1+$C$8)^$C$11)/((1+$C$8)^$C$11-1))</f>
        <v>4868.4796039765415</v>
      </c>
      <c r="I46" s="20">
        <f>IF(B46&gt;$C$11,"", H46-(J45*$C$8))</f>
        <v>1575.3972322001528</v>
      </c>
      <c r="J46" s="20">
        <f t="shared" si="3"/>
        <v>437502.25233798503</v>
      </c>
    </row>
    <row r="47" spans="2:10" x14ac:dyDescent="0.3">
      <c r="B47" s="6">
        <v>31</v>
      </c>
      <c r="C47" s="20">
        <f t="shared" si="0"/>
        <v>2666.6666666666665</v>
      </c>
      <c r="D47" s="20">
        <f>IF(B47&gt;$C$11,"", F46*$C$8)</f>
        <v>2999.9999999999955</v>
      </c>
      <c r="E47" s="20">
        <f t="shared" si="1"/>
        <v>5666.6666666666624</v>
      </c>
      <c r="F47" s="20">
        <f t="shared" si="2"/>
        <v>397333.33333333273</v>
      </c>
      <c r="H47" s="20">
        <f>IF(B47&gt;$C$11,"", $C$10*($C$8*(1+$C$8)^$C$11)/((1+$C$8)^$C$11-1))</f>
        <v>4868.4796039765415</v>
      </c>
      <c r="I47" s="20">
        <f>IF(B47&gt;$C$11,"", H47-(J46*$C$8))</f>
        <v>1587.2127114416539</v>
      </c>
      <c r="J47" s="20">
        <f t="shared" si="3"/>
        <v>435915.03962654335</v>
      </c>
    </row>
    <row r="48" spans="2:10" x14ac:dyDescent="0.3">
      <c r="B48" s="6">
        <v>32</v>
      </c>
      <c r="C48" s="20">
        <f t="shared" si="0"/>
        <v>2666.6666666666665</v>
      </c>
      <c r="D48" s="20">
        <f>IF(B48&gt;$C$11,"", F47*$C$8)</f>
        <v>2979.9999999999955</v>
      </c>
      <c r="E48" s="20">
        <f t="shared" si="1"/>
        <v>5646.6666666666624</v>
      </c>
      <c r="F48" s="20">
        <f t="shared" si="2"/>
        <v>394666.66666666605</v>
      </c>
      <c r="H48" s="20">
        <f>IF(B48&gt;$C$11,"", $C$10*($C$8*(1+$C$8)^$C$11)/((1+$C$8)^$C$11-1))</f>
        <v>4868.4796039765415</v>
      </c>
      <c r="I48" s="20">
        <f>IF(B48&gt;$C$11,"", H48-(J47*$C$8))</f>
        <v>1599.1168067774665</v>
      </c>
      <c r="J48" s="20">
        <f t="shared" si="3"/>
        <v>434315.92281976587</v>
      </c>
    </row>
    <row r="49" spans="2:10" x14ac:dyDescent="0.3">
      <c r="B49" s="6">
        <v>33</v>
      </c>
      <c r="C49" s="20">
        <f t="shared" si="0"/>
        <v>2666.6666666666665</v>
      </c>
      <c r="D49" s="20">
        <f>IF(B49&gt;$C$11,"", F48*$C$8)</f>
        <v>2959.9999999999955</v>
      </c>
      <c r="E49" s="20">
        <f t="shared" si="1"/>
        <v>5626.6666666666624</v>
      </c>
      <c r="F49" s="20">
        <f t="shared" si="2"/>
        <v>391999.99999999936</v>
      </c>
      <c r="H49" s="20">
        <f>IF(B49&gt;$C$11,"", $C$10*($C$8*(1+$C$8)^$C$11)/((1+$C$8)^$C$11-1))</f>
        <v>4868.4796039765415</v>
      </c>
      <c r="I49" s="20">
        <f>IF(B49&gt;$C$11,"", H49-(J48*$C$8))</f>
        <v>1611.1101828282976</v>
      </c>
      <c r="J49" s="20">
        <f t="shared" si="3"/>
        <v>432704.8126369376</v>
      </c>
    </row>
    <row r="50" spans="2:10" x14ac:dyDescent="0.3">
      <c r="B50" s="6">
        <v>34</v>
      </c>
      <c r="C50" s="20">
        <f t="shared" si="0"/>
        <v>2666.6666666666665</v>
      </c>
      <c r="D50" s="20">
        <f>IF(B50&gt;$C$11,"", F49*$C$8)</f>
        <v>2939.999999999995</v>
      </c>
      <c r="E50" s="20">
        <f t="shared" si="1"/>
        <v>5606.6666666666615</v>
      </c>
      <c r="F50" s="20">
        <f t="shared" si="2"/>
        <v>389333.33333333267</v>
      </c>
      <c r="H50" s="20">
        <f>IF(B50&gt;$C$11,"", $C$10*($C$8*(1+$C$8)^$C$11)/((1+$C$8)^$C$11-1))</f>
        <v>4868.4796039765415</v>
      </c>
      <c r="I50" s="20">
        <f>IF(B50&gt;$C$11,"", H50-(J49*$C$8))</f>
        <v>1623.1935091995097</v>
      </c>
      <c r="J50" s="20">
        <f t="shared" si="3"/>
        <v>431081.61912773811</v>
      </c>
    </row>
    <row r="51" spans="2:10" x14ac:dyDescent="0.3">
      <c r="B51" s="6">
        <v>35</v>
      </c>
      <c r="C51" s="20">
        <f t="shared" si="0"/>
        <v>2666.6666666666665</v>
      </c>
      <c r="D51" s="20">
        <f>IF(B51&gt;$C$11,"", F50*$C$8)</f>
        <v>2919.999999999995</v>
      </c>
      <c r="E51" s="20">
        <f t="shared" si="1"/>
        <v>5586.6666666666615</v>
      </c>
      <c r="F51" s="20">
        <f t="shared" si="2"/>
        <v>386666.66666666599</v>
      </c>
      <c r="H51" s="20">
        <f>IF(B51&gt;$C$11,"", $C$10*($C$8*(1+$C$8)^$C$11)/((1+$C$8)^$C$11-1))</f>
        <v>4868.4796039765415</v>
      </c>
      <c r="I51" s="20">
        <f>IF(B51&gt;$C$11,"", H51-(J50*$C$8))</f>
        <v>1635.3674605185056</v>
      </c>
      <c r="J51" s="20">
        <f t="shared" si="3"/>
        <v>429446.25166721962</v>
      </c>
    </row>
    <row r="52" spans="2:10" x14ac:dyDescent="0.3">
      <c r="B52" s="6">
        <v>36</v>
      </c>
      <c r="C52" s="20">
        <f t="shared" si="0"/>
        <v>2666.6666666666665</v>
      </c>
      <c r="D52" s="20">
        <f>IF(B52&gt;$C$11,"", F51*$C$8)</f>
        <v>2899.999999999995</v>
      </c>
      <c r="E52" s="20">
        <f t="shared" si="1"/>
        <v>5566.6666666666615</v>
      </c>
      <c r="F52" s="20">
        <f t="shared" si="2"/>
        <v>383999.9999999993</v>
      </c>
      <c r="H52" s="20">
        <f>IF(B52&gt;$C$11,"", $C$10*($C$8*(1+$C$8)^$C$11)/((1+$C$8)^$C$11-1))</f>
        <v>4868.4796039765415</v>
      </c>
      <c r="I52" s="20">
        <f>IF(B52&gt;$C$11,"", H52-(J51*$C$8))</f>
        <v>1647.6327164723943</v>
      </c>
      <c r="J52" s="20">
        <f t="shared" si="3"/>
        <v>427798.61895074724</v>
      </c>
    </row>
    <row r="53" spans="2:10" x14ac:dyDescent="0.3">
      <c r="B53" s="6">
        <v>37</v>
      </c>
      <c r="C53" s="20">
        <f t="shared" si="0"/>
        <v>2666.6666666666665</v>
      </c>
      <c r="D53" s="20">
        <f>IF(B53&gt;$C$11,"", F52*$C$8)</f>
        <v>2879.9999999999945</v>
      </c>
      <c r="E53" s="20">
        <f t="shared" si="1"/>
        <v>5546.6666666666606</v>
      </c>
      <c r="F53" s="20">
        <f t="shared" si="2"/>
        <v>381333.33333333262</v>
      </c>
      <c r="H53" s="20">
        <f>IF(B53&gt;$C$11,"", $C$10*($C$8*(1+$C$8)^$C$11)/((1+$C$8)^$C$11-1))</f>
        <v>4868.4796039765415</v>
      </c>
      <c r="I53" s="20">
        <f>IF(B53&gt;$C$11,"", H53-(J52*$C$8))</f>
        <v>1659.9899618459372</v>
      </c>
      <c r="J53" s="20">
        <f t="shared" si="3"/>
        <v>426138.62898890133</v>
      </c>
    </row>
    <row r="54" spans="2:10" x14ac:dyDescent="0.3">
      <c r="B54" s="6">
        <v>38</v>
      </c>
      <c r="C54" s="20">
        <f t="shared" si="0"/>
        <v>2666.6666666666665</v>
      </c>
      <c r="D54" s="20">
        <f>IF(B54&gt;$C$11,"", F53*$C$8)</f>
        <v>2859.9999999999945</v>
      </c>
      <c r="E54" s="20">
        <f t="shared" si="1"/>
        <v>5526.6666666666606</v>
      </c>
      <c r="F54" s="20">
        <f t="shared" si="2"/>
        <v>378666.66666666593</v>
      </c>
      <c r="H54" s="20">
        <f>IF(B54&gt;$C$11,"", $C$10*($C$8*(1+$C$8)^$C$11)/((1+$C$8)^$C$11-1))</f>
        <v>4868.4796039765415</v>
      </c>
      <c r="I54" s="20">
        <f>IF(B54&gt;$C$11,"", H54-(J53*$C$8))</f>
        <v>1672.4398865597818</v>
      </c>
      <c r="J54" s="20">
        <f t="shared" si="3"/>
        <v>424466.18910234154</v>
      </c>
    </row>
    <row r="55" spans="2:10" x14ac:dyDescent="0.3">
      <c r="B55" s="6">
        <v>39</v>
      </c>
      <c r="C55" s="20">
        <f t="shared" si="0"/>
        <v>2666.6666666666665</v>
      </c>
      <c r="D55" s="20">
        <f>IF(B55&gt;$C$11,"", F54*$C$8)</f>
        <v>2839.9999999999945</v>
      </c>
      <c r="E55" s="20">
        <f t="shared" si="1"/>
        <v>5506.6666666666606</v>
      </c>
      <c r="F55" s="20">
        <f t="shared" si="2"/>
        <v>375999.99999999924</v>
      </c>
      <c r="H55" s="20">
        <f>IF(B55&gt;$C$11,"", $C$10*($C$8*(1+$C$8)^$C$11)/((1+$C$8)^$C$11-1))</f>
        <v>4868.4796039765415</v>
      </c>
      <c r="I55" s="20">
        <f>IF(B55&gt;$C$11,"", H55-(J54*$C$8))</f>
        <v>1684.9831857089803</v>
      </c>
      <c r="J55" s="20">
        <f t="shared" si="3"/>
        <v>422781.20591663255</v>
      </c>
    </row>
    <row r="56" spans="2:10" x14ac:dyDescent="0.3">
      <c r="B56" s="6">
        <v>40</v>
      </c>
      <c r="C56" s="20">
        <f t="shared" si="0"/>
        <v>2666.6666666666665</v>
      </c>
      <c r="D56" s="20">
        <f>IF(B56&gt;$C$11,"", F55*$C$8)</f>
        <v>2819.9999999999941</v>
      </c>
      <c r="E56" s="20">
        <f t="shared" si="1"/>
        <v>5486.6666666666606</v>
      </c>
      <c r="F56" s="20">
        <f t="shared" si="2"/>
        <v>373333.33333333256</v>
      </c>
      <c r="H56" s="20">
        <f>IF(B56&gt;$C$11,"", $C$10*($C$8*(1+$C$8)^$C$11)/((1+$C$8)^$C$11-1))</f>
        <v>4868.4796039765415</v>
      </c>
      <c r="I56" s="20">
        <f>IF(B56&gt;$C$11,"", H56-(J55*$C$8))</f>
        <v>1697.6205596017976</v>
      </c>
      <c r="J56" s="20">
        <f t="shared" si="3"/>
        <v>421083.58535703074</v>
      </c>
    </row>
    <row r="57" spans="2:10" x14ac:dyDescent="0.3">
      <c r="B57" s="6">
        <v>41</v>
      </c>
      <c r="C57" s="20">
        <f t="shared" si="0"/>
        <v>2666.6666666666665</v>
      </c>
      <c r="D57" s="20">
        <f>IF(B57&gt;$C$11,"", F56*$C$8)</f>
        <v>2799.9999999999941</v>
      </c>
      <c r="E57" s="20">
        <f t="shared" si="1"/>
        <v>5466.6666666666606</v>
      </c>
      <c r="F57" s="20">
        <f t="shared" si="2"/>
        <v>370666.66666666587</v>
      </c>
      <c r="H57" s="20">
        <f>IF(B57&gt;$C$11,"", $C$10*($C$8*(1+$C$8)^$C$11)/((1+$C$8)^$C$11-1))</f>
        <v>4868.4796039765415</v>
      </c>
      <c r="I57" s="20">
        <f>IF(B57&gt;$C$11,"", H57-(J56*$C$8))</f>
        <v>1710.3527137988112</v>
      </c>
      <c r="J57" s="20">
        <f t="shared" si="3"/>
        <v>419373.23264323192</v>
      </c>
    </row>
    <row r="58" spans="2:10" x14ac:dyDescent="0.3">
      <c r="B58" s="6">
        <v>42</v>
      </c>
      <c r="C58" s="20">
        <f t="shared" si="0"/>
        <v>2666.6666666666665</v>
      </c>
      <c r="D58" s="20">
        <f>IF(B58&gt;$C$11,"", F57*$C$8)</f>
        <v>2779.9999999999941</v>
      </c>
      <c r="E58" s="20">
        <f t="shared" si="1"/>
        <v>5446.6666666666606</v>
      </c>
      <c r="F58" s="20">
        <f t="shared" si="2"/>
        <v>367999.99999999919</v>
      </c>
      <c r="H58" s="20">
        <f>IF(B58&gt;$C$11,"", $C$10*($C$8*(1+$C$8)^$C$11)/((1+$C$8)^$C$11-1))</f>
        <v>4868.4796039765415</v>
      </c>
      <c r="I58" s="20">
        <f>IF(B58&gt;$C$11,"", H58-(J57*$C$8))</f>
        <v>1723.1803591523021</v>
      </c>
      <c r="J58" s="20">
        <f t="shared" si="3"/>
        <v>417650.0522840796</v>
      </c>
    </row>
    <row r="59" spans="2:10" x14ac:dyDescent="0.3">
      <c r="B59" s="6">
        <v>43</v>
      </c>
      <c r="C59" s="20">
        <f t="shared" si="0"/>
        <v>2666.6666666666665</v>
      </c>
      <c r="D59" s="20">
        <f>IF(B59&gt;$C$11,"", F58*$C$8)</f>
        <v>2759.9999999999936</v>
      </c>
      <c r="E59" s="20">
        <f t="shared" si="1"/>
        <v>5426.6666666666606</v>
      </c>
      <c r="F59" s="20">
        <f t="shared" si="2"/>
        <v>365333.3333333325</v>
      </c>
      <c r="H59" s="20">
        <f>IF(B59&gt;$C$11,"", $C$10*($C$8*(1+$C$8)^$C$11)/((1+$C$8)^$C$11-1))</f>
        <v>4868.4796039765415</v>
      </c>
      <c r="I59" s="20">
        <f>IF(B59&gt;$C$11,"", H59-(J58*$C$8))</f>
        <v>1736.1042118459445</v>
      </c>
      <c r="J59" s="20">
        <f t="shared" si="3"/>
        <v>415913.94807223364</v>
      </c>
    </row>
    <row r="60" spans="2:10" x14ac:dyDescent="0.3">
      <c r="B60" s="6">
        <v>44</v>
      </c>
      <c r="C60" s="20">
        <f t="shared" si="0"/>
        <v>2666.6666666666665</v>
      </c>
      <c r="D60" s="20">
        <f>IF(B60&gt;$C$11,"", F59*$C$8)</f>
        <v>2739.9999999999936</v>
      </c>
      <c r="E60" s="20">
        <f t="shared" si="1"/>
        <v>5406.6666666666606</v>
      </c>
      <c r="F60" s="20">
        <f t="shared" si="2"/>
        <v>362666.66666666581</v>
      </c>
      <c r="H60" s="20">
        <f>IF(B60&gt;$C$11,"", $C$10*($C$8*(1+$C$8)^$C$11)/((1+$C$8)^$C$11-1))</f>
        <v>4868.4796039765415</v>
      </c>
      <c r="I60" s="20">
        <f>IF(B60&gt;$C$11,"", H60-(J59*$C$8))</f>
        <v>1749.1249934347893</v>
      </c>
      <c r="J60" s="20">
        <f t="shared" si="3"/>
        <v>414164.82307879883</v>
      </c>
    </row>
    <row r="61" spans="2:10" x14ac:dyDescent="0.3">
      <c r="B61" s="6">
        <v>45</v>
      </c>
      <c r="C61" s="20">
        <f t="shared" si="0"/>
        <v>2666.6666666666665</v>
      </c>
      <c r="D61" s="20">
        <f>IF(B61&gt;$C$11,"", F60*$C$8)</f>
        <v>2719.9999999999936</v>
      </c>
      <c r="E61" s="20">
        <f t="shared" si="1"/>
        <v>5386.6666666666606</v>
      </c>
      <c r="F61" s="20">
        <f t="shared" si="2"/>
        <v>359999.99999999913</v>
      </c>
      <c r="H61" s="20">
        <f>IF(B61&gt;$C$11,"", $C$10*($C$8*(1+$C$8)^$C$11)/((1+$C$8)^$C$11-1))</f>
        <v>4868.4796039765415</v>
      </c>
      <c r="I61" s="20">
        <f>IF(B61&gt;$C$11,"", H61-(J60*$C$8))</f>
        <v>1762.2434308855504</v>
      </c>
      <c r="J61" s="20">
        <f t="shared" si="3"/>
        <v>412402.57964791328</v>
      </c>
    </row>
    <row r="62" spans="2:10" x14ac:dyDescent="0.3">
      <c r="B62" s="6">
        <v>46</v>
      </c>
      <c r="C62" s="20">
        <f t="shared" si="0"/>
        <v>2666.6666666666665</v>
      </c>
      <c r="D62" s="20">
        <f>IF(B62&gt;$C$11,"", F61*$C$8)</f>
        <v>2699.9999999999932</v>
      </c>
      <c r="E62" s="20">
        <f t="shared" si="1"/>
        <v>5366.6666666666597</v>
      </c>
      <c r="F62" s="20">
        <f t="shared" si="2"/>
        <v>357333.33333333244</v>
      </c>
      <c r="H62" s="20">
        <f>IF(B62&gt;$C$11,"", $C$10*($C$8*(1+$C$8)^$C$11)/((1+$C$8)^$C$11-1))</f>
        <v>4868.4796039765415</v>
      </c>
      <c r="I62" s="20">
        <f>IF(B62&gt;$C$11,"", H62-(J61*$C$8))</f>
        <v>1775.460256617192</v>
      </c>
      <c r="J62" s="20">
        <f t="shared" si="3"/>
        <v>410627.11939129612</v>
      </c>
    </row>
    <row r="63" spans="2:10" x14ac:dyDescent="0.3">
      <c r="B63" s="6">
        <v>47</v>
      </c>
      <c r="C63" s="20">
        <f t="shared" si="0"/>
        <v>2666.6666666666665</v>
      </c>
      <c r="D63" s="20">
        <f>IF(B63&gt;$C$11,"", F62*$C$8)</f>
        <v>2679.9999999999932</v>
      </c>
      <c r="E63" s="20">
        <f t="shared" si="1"/>
        <v>5346.6666666666597</v>
      </c>
      <c r="F63" s="20">
        <f t="shared" si="2"/>
        <v>354666.66666666575</v>
      </c>
      <c r="H63" s="20">
        <f>IF(B63&gt;$C$11,"", $C$10*($C$8*(1+$C$8)^$C$11)/((1+$C$8)^$C$11-1))</f>
        <v>4868.4796039765415</v>
      </c>
      <c r="I63" s="20">
        <f>IF(B63&gt;$C$11,"", H63-(J62*$C$8))</f>
        <v>1788.7762085418208</v>
      </c>
      <c r="J63" s="20">
        <f t="shared" si="3"/>
        <v>408838.3431827543</v>
      </c>
    </row>
    <row r="64" spans="2:10" x14ac:dyDescent="0.3">
      <c r="B64" s="6">
        <v>48</v>
      </c>
      <c r="C64" s="20">
        <f t="shared" si="0"/>
        <v>2666.6666666666665</v>
      </c>
      <c r="D64" s="20">
        <f>IF(B64&gt;$C$11,"", F63*$C$8)</f>
        <v>2659.9999999999932</v>
      </c>
      <c r="E64" s="20">
        <f t="shared" si="1"/>
        <v>5326.6666666666597</v>
      </c>
      <c r="F64" s="20">
        <f t="shared" si="2"/>
        <v>351999.99999999907</v>
      </c>
      <c r="H64" s="20">
        <f>IF(B64&gt;$C$11,"", $C$10*($C$8*(1+$C$8)^$C$11)/((1+$C$8)^$C$11-1))</f>
        <v>4868.4796039765415</v>
      </c>
      <c r="I64" s="20">
        <f>IF(B64&gt;$C$11,"", H64-(J63*$C$8))</f>
        <v>1802.1920301058844</v>
      </c>
      <c r="J64" s="20">
        <f t="shared" si="3"/>
        <v>407036.15115264844</v>
      </c>
    </row>
    <row r="65" spans="2:10" x14ac:dyDescent="0.3">
      <c r="B65" s="6">
        <v>49</v>
      </c>
      <c r="C65" s="20">
        <f t="shared" si="0"/>
        <v>2666.6666666666665</v>
      </c>
      <c r="D65" s="20">
        <f>IF(B65&gt;$C$11,"", F64*$C$8)</f>
        <v>2639.9999999999927</v>
      </c>
      <c r="E65" s="20">
        <f t="shared" si="1"/>
        <v>5306.6666666666588</v>
      </c>
      <c r="F65" s="20">
        <f t="shared" si="2"/>
        <v>349333.33333333238</v>
      </c>
      <c r="H65" s="20">
        <f>IF(B65&gt;$C$11,"", $C$10*($C$8*(1+$C$8)^$C$11)/((1+$C$8)^$C$11-1))</f>
        <v>4868.4796039765415</v>
      </c>
      <c r="I65" s="20">
        <f>IF(B65&gt;$C$11,"", H65-(J64*$C$8))</f>
        <v>1815.7084703316782</v>
      </c>
      <c r="J65" s="20">
        <f t="shared" si="3"/>
        <v>405220.44268231676</v>
      </c>
    </row>
    <row r="66" spans="2:10" x14ac:dyDescent="0.3">
      <c r="B66" s="6">
        <v>50</v>
      </c>
      <c r="C66" s="20">
        <f t="shared" si="0"/>
        <v>2666.6666666666665</v>
      </c>
      <c r="D66" s="20">
        <f>IF(B66&gt;$C$11,"", F65*$C$8)</f>
        <v>2619.9999999999927</v>
      </c>
      <c r="E66" s="20">
        <f t="shared" si="1"/>
        <v>5286.6666666666588</v>
      </c>
      <c r="F66" s="20">
        <f t="shared" si="2"/>
        <v>346666.6666666657</v>
      </c>
      <c r="H66" s="20">
        <f>IF(B66&gt;$C$11,"", $C$10*($C$8*(1+$C$8)^$C$11)/((1+$C$8)^$C$11-1))</f>
        <v>4868.4796039765415</v>
      </c>
      <c r="I66" s="20">
        <f>IF(B66&gt;$C$11,"", H66-(J65*$C$8))</f>
        <v>1829.3262838591659</v>
      </c>
      <c r="J66" s="20">
        <f t="shared" si="3"/>
        <v>403391.11639845761</v>
      </c>
    </row>
    <row r="67" spans="2:10" x14ac:dyDescent="0.3">
      <c r="B67" s="6">
        <v>51</v>
      </c>
      <c r="C67" s="20">
        <f t="shared" si="0"/>
        <v>2666.6666666666665</v>
      </c>
      <c r="D67" s="20">
        <f>IF(B67&gt;$C$11,"", F66*$C$8)</f>
        <v>2599.9999999999927</v>
      </c>
      <c r="E67" s="20">
        <f t="shared" si="1"/>
        <v>5266.6666666666588</v>
      </c>
      <c r="F67" s="20">
        <f t="shared" si="2"/>
        <v>343999.99999999901</v>
      </c>
      <c r="H67" s="20">
        <f>IF(B67&gt;$C$11,"", $C$10*($C$8*(1+$C$8)^$C$11)/((1+$C$8)^$C$11-1))</f>
        <v>4868.4796039765415</v>
      </c>
      <c r="I67" s="20">
        <f>IF(B67&gt;$C$11,"", H67-(J66*$C$8))</f>
        <v>1843.0462309881095</v>
      </c>
      <c r="J67" s="20">
        <f t="shared" si="3"/>
        <v>401548.0701674695</v>
      </c>
    </row>
    <row r="68" spans="2:10" x14ac:dyDescent="0.3">
      <c r="B68" s="6">
        <v>52</v>
      </c>
      <c r="C68" s="20">
        <f t="shared" si="0"/>
        <v>2666.6666666666665</v>
      </c>
      <c r="D68" s="20">
        <f>IF(B68&gt;$C$11,"", F67*$C$8)</f>
        <v>2579.9999999999923</v>
      </c>
      <c r="E68" s="20">
        <f t="shared" si="1"/>
        <v>5246.6666666666588</v>
      </c>
      <c r="F68" s="20">
        <f t="shared" si="2"/>
        <v>341333.33333333232</v>
      </c>
      <c r="H68" s="20">
        <f>IF(B68&gt;$C$11,"", $C$10*($C$8*(1+$C$8)^$C$11)/((1+$C$8)^$C$11-1))</f>
        <v>4868.4796039765415</v>
      </c>
      <c r="I68" s="20">
        <f>IF(B68&gt;$C$11,"", H68-(J67*$C$8))</f>
        <v>1856.8690777205202</v>
      </c>
      <c r="J68" s="20">
        <f t="shared" si="3"/>
        <v>399691.201089749</v>
      </c>
    </row>
    <row r="69" spans="2:10" x14ac:dyDescent="0.3">
      <c r="B69" s="6">
        <v>53</v>
      </c>
      <c r="C69" s="20">
        <f t="shared" si="0"/>
        <v>2666.6666666666665</v>
      </c>
      <c r="D69" s="20">
        <f>IF(B69&gt;$C$11,"", F68*$C$8)</f>
        <v>2559.9999999999923</v>
      </c>
      <c r="E69" s="20">
        <f t="shared" si="1"/>
        <v>5226.6666666666588</v>
      </c>
      <c r="F69" s="20">
        <f t="shared" si="2"/>
        <v>338666.66666666564</v>
      </c>
      <c r="H69" s="20">
        <f>IF(B69&gt;$C$11,"", $C$10*($C$8*(1+$C$8)^$C$11)/((1+$C$8)^$C$11-1))</f>
        <v>4868.4796039765415</v>
      </c>
      <c r="I69" s="20">
        <f>IF(B69&gt;$C$11,"", H69-(J68*$C$8))</f>
        <v>1870.795595803424</v>
      </c>
      <c r="J69" s="20">
        <f t="shared" si="3"/>
        <v>397820.40549394558</v>
      </c>
    </row>
    <row r="70" spans="2:10" x14ac:dyDescent="0.3">
      <c r="B70" s="6">
        <v>54</v>
      </c>
      <c r="C70" s="20">
        <f t="shared" si="0"/>
        <v>2666.6666666666665</v>
      </c>
      <c r="D70" s="20">
        <f>IF(B70&gt;$C$11,"", F69*$C$8)</f>
        <v>2539.9999999999923</v>
      </c>
      <c r="E70" s="20">
        <f t="shared" si="1"/>
        <v>5206.6666666666588</v>
      </c>
      <c r="F70" s="20">
        <f t="shared" si="2"/>
        <v>335999.99999999895</v>
      </c>
      <c r="H70" s="20">
        <f>IF(B70&gt;$C$11,"", $C$10*($C$8*(1+$C$8)^$C$11)/((1+$C$8)^$C$11-1))</f>
        <v>4868.4796039765415</v>
      </c>
      <c r="I70" s="20">
        <f>IF(B70&gt;$C$11,"", H70-(J69*$C$8))</f>
        <v>1884.8265627719497</v>
      </c>
      <c r="J70" s="20">
        <f t="shared" si="3"/>
        <v>395935.57893117366</v>
      </c>
    </row>
    <row r="71" spans="2:10" x14ac:dyDescent="0.3">
      <c r="B71" s="6">
        <v>55</v>
      </c>
      <c r="C71" s="20">
        <f t="shared" si="0"/>
        <v>2666.6666666666665</v>
      </c>
      <c r="D71" s="20">
        <f>IF(B71&gt;$C$11,"", F70*$C$8)</f>
        <v>2519.9999999999923</v>
      </c>
      <c r="E71" s="20">
        <f t="shared" si="1"/>
        <v>5186.6666666666588</v>
      </c>
      <c r="F71" s="20">
        <f t="shared" si="2"/>
        <v>333333.33333333227</v>
      </c>
      <c r="H71" s="20">
        <f>IF(B71&gt;$C$11,"", $C$10*($C$8*(1+$C$8)^$C$11)/((1+$C$8)^$C$11-1))</f>
        <v>4868.4796039765415</v>
      </c>
      <c r="I71" s="20">
        <f>IF(B71&gt;$C$11,"", H71-(J70*$C$8))</f>
        <v>1898.9627619927392</v>
      </c>
      <c r="J71" s="20">
        <f t="shared" si="3"/>
        <v>394036.6161691809</v>
      </c>
    </row>
    <row r="72" spans="2:10" x14ac:dyDescent="0.3">
      <c r="B72" s="6">
        <v>56</v>
      </c>
      <c r="C72" s="20">
        <f t="shared" si="0"/>
        <v>2666.6666666666665</v>
      </c>
      <c r="D72" s="20">
        <f>IF(B72&gt;$C$11,"", F71*$C$8)</f>
        <v>2499.9999999999918</v>
      </c>
      <c r="E72" s="20">
        <f t="shared" si="1"/>
        <v>5166.6666666666588</v>
      </c>
      <c r="F72" s="20">
        <f t="shared" si="2"/>
        <v>330666.66666666558</v>
      </c>
      <c r="H72" s="20">
        <f>IF(B72&gt;$C$11,"", $C$10*($C$8*(1+$C$8)^$C$11)/((1+$C$8)^$C$11-1))</f>
        <v>4868.4796039765415</v>
      </c>
      <c r="I72" s="20">
        <f>IF(B72&gt;$C$11,"", H72-(J71*$C$8))</f>
        <v>1913.2049827076848</v>
      </c>
      <c r="J72" s="20">
        <f t="shared" si="3"/>
        <v>392123.41118647321</v>
      </c>
    </row>
    <row r="73" spans="2:10" x14ac:dyDescent="0.3">
      <c r="B73" s="6">
        <v>57</v>
      </c>
      <c r="C73" s="20">
        <f t="shared" si="0"/>
        <v>2666.6666666666665</v>
      </c>
      <c r="D73" s="20">
        <f>IF(B73&gt;$C$11,"", F72*$C$8)</f>
        <v>2479.9999999999918</v>
      </c>
      <c r="E73" s="20">
        <f t="shared" si="1"/>
        <v>5146.6666666666588</v>
      </c>
      <c r="F73" s="20">
        <f t="shared" si="2"/>
        <v>327999.99999999889</v>
      </c>
      <c r="H73" s="20">
        <f>IF(B73&gt;$C$11,"", $C$10*($C$8*(1+$C$8)^$C$11)/((1+$C$8)^$C$11-1))</f>
        <v>4868.4796039765415</v>
      </c>
      <c r="I73" s="20">
        <f>IF(B73&gt;$C$11,"", H73-(J72*$C$8))</f>
        <v>1927.5540200779924</v>
      </c>
      <c r="J73" s="20">
        <f t="shared" si="3"/>
        <v>390195.85716639523</v>
      </c>
    </row>
    <row r="74" spans="2:10" x14ac:dyDescent="0.3">
      <c r="B74" s="6">
        <v>58</v>
      </c>
      <c r="C74" s="20">
        <f t="shared" si="0"/>
        <v>2666.6666666666665</v>
      </c>
      <c r="D74" s="20">
        <f>IF(B74&gt;$C$11,"", F73*$C$8)</f>
        <v>2459.9999999999918</v>
      </c>
      <c r="E74" s="20">
        <f t="shared" si="1"/>
        <v>5126.6666666666588</v>
      </c>
      <c r="F74" s="20">
        <f t="shared" si="2"/>
        <v>325333.33333333221</v>
      </c>
      <c r="H74" s="20">
        <f>IF(B74&gt;$C$11,"", $C$10*($C$8*(1+$C$8)^$C$11)/((1+$C$8)^$C$11-1))</f>
        <v>4868.4796039765415</v>
      </c>
      <c r="I74" s="20">
        <f>IF(B74&gt;$C$11,"", H74-(J73*$C$8))</f>
        <v>1942.0106752285774</v>
      </c>
      <c r="J74" s="20">
        <f t="shared" si="3"/>
        <v>388253.84649116668</v>
      </c>
    </row>
    <row r="75" spans="2:10" x14ac:dyDescent="0.3">
      <c r="B75" s="6">
        <v>59</v>
      </c>
      <c r="C75" s="20">
        <f t="shared" si="0"/>
        <v>2666.6666666666665</v>
      </c>
      <c r="D75" s="20">
        <f>IF(B75&gt;$C$11,"", F74*$C$8)</f>
        <v>2439.9999999999914</v>
      </c>
      <c r="E75" s="20">
        <f t="shared" si="1"/>
        <v>5106.6666666666579</v>
      </c>
      <c r="F75" s="20">
        <f t="shared" si="2"/>
        <v>322666.66666666552</v>
      </c>
      <c r="H75" s="20">
        <f>IF(B75&gt;$C$11,"", $C$10*($C$8*(1+$C$8)^$C$11)/((1+$C$8)^$C$11-1))</f>
        <v>4868.4796039765415</v>
      </c>
      <c r="I75" s="20">
        <f>IF(B75&gt;$C$11,"", H75-(J74*$C$8))</f>
        <v>1956.5757552927917</v>
      </c>
      <c r="J75" s="20">
        <f t="shared" si="3"/>
        <v>386297.2707358739</v>
      </c>
    </row>
    <row r="76" spans="2:10" x14ac:dyDescent="0.3">
      <c r="B76" s="6">
        <v>60</v>
      </c>
      <c r="C76" s="20">
        <f t="shared" si="0"/>
        <v>2666.6666666666665</v>
      </c>
      <c r="D76" s="20">
        <f>IF(B76&gt;$C$11,"", F75*$C$8)</f>
        <v>2419.9999999999914</v>
      </c>
      <c r="E76" s="20">
        <f t="shared" si="1"/>
        <v>5086.6666666666579</v>
      </c>
      <c r="F76" s="20">
        <f t="shared" si="2"/>
        <v>319999.99999999884</v>
      </c>
      <c r="H76" s="20">
        <f>IF(B76&gt;$C$11,"", $C$10*($C$8*(1+$C$8)^$C$11)/((1+$C$8)^$C$11-1))</f>
        <v>4868.4796039765415</v>
      </c>
      <c r="I76" s="20">
        <f>IF(B76&gt;$C$11,"", H76-(J75*$C$8))</f>
        <v>1971.2500734574874</v>
      </c>
      <c r="J76" s="20">
        <f t="shared" si="3"/>
        <v>384326.02066241641</v>
      </c>
    </row>
    <row r="77" spans="2:10" x14ac:dyDescent="0.3">
      <c r="B77" s="6">
        <v>61</v>
      </c>
      <c r="C77" s="20">
        <f t="shared" si="0"/>
        <v>2666.6666666666665</v>
      </c>
      <c r="D77" s="20">
        <f>IF(B77&gt;$C$11,"", F76*$C$8)</f>
        <v>2399.9999999999914</v>
      </c>
      <c r="E77" s="20">
        <f t="shared" si="1"/>
        <v>5066.6666666666579</v>
      </c>
      <c r="F77" s="20">
        <f t="shared" si="2"/>
        <v>317333.33333333215</v>
      </c>
      <c r="H77" s="20">
        <f>IF(B77&gt;$C$11,"", $C$10*($C$8*(1+$C$8)^$C$11)/((1+$C$8)^$C$11-1))</f>
        <v>4868.4796039765415</v>
      </c>
      <c r="I77" s="20">
        <f>IF(B77&gt;$C$11,"", H77-(J76*$C$8))</f>
        <v>1986.0344490084185</v>
      </c>
      <c r="J77" s="20">
        <f t="shared" si="3"/>
        <v>382339.986213408</v>
      </c>
    </row>
    <row r="78" spans="2:10" x14ac:dyDescent="0.3">
      <c r="B78" s="6">
        <v>62</v>
      </c>
      <c r="C78" s="20">
        <f t="shared" si="0"/>
        <v>2666.6666666666665</v>
      </c>
      <c r="D78" s="20">
        <f>IF(B78&gt;$C$11,"", F77*$C$8)</f>
        <v>2379.9999999999909</v>
      </c>
      <c r="E78" s="20">
        <f t="shared" si="1"/>
        <v>5046.666666666657</v>
      </c>
      <c r="F78" s="20">
        <f t="shared" si="2"/>
        <v>314666.66666666546</v>
      </c>
      <c r="H78" s="20">
        <f>IF(B78&gt;$C$11,"", $C$10*($C$8*(1+$C$8)^$C$11)/((1+$C$8)^$C$11-1))</f>
        <v>4868.4796039765415</v>
      </c>
      <c r="I78" s="20">
        <f>IF(B78&gt;$C$11,"", H78-(J77*$C$8))</f>
        <v>2000.9297073759817</v>
      </c>
      <c r="J78" s="20">
        <f t="shared" si="3"/>
        <v>380339.05650603201</v>
      </c>
    </row>
    <row r="79" spans="2:10" x14ac:dyDescent="0.3">
      <c r="B79" s="6">
        <v>63</v>
      </c>
      <c r="C79" s="20">
        <f t="shared" si="0"/>
        <v>2666.6666666666665</v>
      </c>
      <c r="D79" s="20">
        <f>IF(B79&gt;$C$11,"", F78*$C$8)</f>
        <v>2359.9999999999909</v>
      </c>
      <c r="E79" s="20">
        <f t="shared" si="1"/>
        <v>5026.666666666657</v>
      </c>
      <c r="F79" s="20">
        <f t="shared" si="2"/>
        <v>311999.99999999878</v>
      </c>
      <c r="H79" s="20">
        <f>IF(B79&gt;$C$11,"", $C$10*($C$8*(1+$C$8)^$C$11)/((1+$C$8)^$C$11-1))</f>
        <v>4868.4796039765415</v>
      </c>
      <c r="I79" s="20">
        <f>IF(B79&gt;$C$11,"", H79-(J78*$C$8))</f>
        <v>2015.9366801813017</v>
      </c>
      <c r="J79" s="20">
        <f t="shared" si="3"/>
        <v>378323.11982585071</v>
      </c>
    </row>
    <row r="80" spans="2:10" x14ac:dyDescent="0.3">
      <c r="B80" s="6">
        <v>64</v>
      </c>
      <c r="C80" s="20">
        <f t="shared" si="0"/>
        <v>2666.6666666666665</v>
      </c>
      <c r="D80" s="20">
        <f>IF(B80&gt;$C$11,"", F79*$C$8)</f>
        <v>2339.9999999999909</v>
      </c>
      <c r="E80" s="20">
        <f t="shared" si="1"/>
        <v>5006.666666666657</v>
      </c>
      <c r="F80" s="20">
        <f t="shared" si="2"/>
        <v>309333.33333333209</v>
      </c>
      <c r="H80" s="20">
        <f>IF(B80&gt;$C$11,"", $C$10*($C$8*(1+$C$8)^$C$11)/((1+$C$8)^$C$11-1))</f>
        <v>4868.4796039765415</v>
      </c>
      <c r="I80" s="20">
        <f>IF(B80&gt;$C$11,"", H80-(J79*$C$8))</f>
        <v>2031.0562052826613</v>
      </c>
      <c r="J80" s="20">
        <f t="shared" si="3"/>
        <v>376292.06362056802</v>
      </c>
    </row>
    <row r="81" spans="2:10" x14ac:dyDescent="0.3">
      <c r="B81" s="6">
        <v>65</v>
      </c>
      <c r="C81" s="20">
        <f t="shared" ref="C81:C144" si="4">IF(B81&gt;$C$11,"", $C$10/$C$11)</f>
        <v>2666.6666666666665</v>
      </c>
      <c r="D81" s="20">
        <f>IF(B81&gt;$C$11,"", F80*$C$8)</f>
        <v>2319.9999999999905</v>
      </c>
      <c r="E81" s="20">
        <f t="shared" ref="E81:E144" si="5">IF(B81&gt;$C$11,"", C81+D81)</f>
        <v>4986.666666666657</v>
      </c>
      <c r="F81" s="20">
        <f t="shared" si="2"/>
        <v>306666.66666666541</v>
      </c>
      <c r="H81" s="20">
        <f>IF(B81&gt;$C$11,"", $C$10*($C$8*(1+$C$8)^$C$11)/((1+$C$8)^$C$11-1))</f>
        <v>4868.4796039765415</v>
      </c>
      <c r="I81" s="20">
        <f>IF(B81&gt;$C$11,"", H81-(J80*$C$8))</f>
        <v>2046.2891268222816</v>
      </c>
      <c r="J81" s="20">
        <f t="shared" si="3"/>
        <v>374245.77449374576</v>
      </c>
    </row>
    <row r="82" spans="2:10" x14ac:dyDescent="0.3">
      <c r="B82" s="6">
        <v>66</v>
      </c>
      <c r="C82" s="20">
        <f t="shared" si="4"/>
        <v>2666.6666666666665</v>
      </c>
      <c r="D82" s="20">
        <f>IF(B82&gt;$C$11,"", F81*$C$8)</f>
        <v>2299.9999999999905</v>
      </c>
      <c r="E82" s="20">
        <f t="shared" si="5"/>
        <v>4966.666666666657</v>
      </c>
      <c r="F82" s="20">
        <f t="shared" ref="F82:F145" si="6">IF(B82&gt;$C$11,"", F81-C82)</f>
        <v>303999.99999999872</v>
      </c>
      <c r="H82" s="20">
        <f>IF(B82&gt;$C$11,"", $C$10*($C$8*(1+$C$8)^$C$11)/((1+$C$8)^$C$11-1))</f>
        <v>4868.4796039765415</v>
      </c>
      <c r="I82" s="20">
        <f>IF(B82&gt;$C$11,"", H82-(J81*$C$8))</f>
        <v>2061.6362952734485</v>
      </c>
      <c r="J82" s="20">
        <f t="shared" ref="J82:J145" si="7">IF(B82&gt;$C$11,"", J81-I82)</f>
        <v>372184.13819847233</v>
      </c>
    </row>
    <row r="83" spans="2:10" x14ac:dyDescent="0.3">
      <c r="B83" s="6">
        <v>67</v>
      </c>
      <c r="C83" s="20">
        <f t="shared" si="4"/>
        <v>2666.6666666666665</v>
      </c>
      <c r="D83" s="20">
        <f>IF(B83&gt;$C$11,"", F82*$C$8)</f>
        <v>2279.9999999999905</v>
      </c>
      <c r="E83" s="20">
        <f t="shared" si="5"/>
        <v>4946.666666666657</v>
      </c>
      <c r="F83" s="20">
        <f t="shared" si="6"/>
        <v>301333.33333333203</v>
      </c>
      <c r="H83" s="20">
        <f>IF(B83&gt;$C$11,"", $C$10*($C$8*(1+$C$8)^$C$11)/((1+$C$8)^$C$11-1))</f>
        <v>4868.4796039765415</v>
      </c>
      <c r="I83" s="20">
        <f>IF(B83&gt;$C$11,"", H83-(J82*$C$8))</f>
        <v>2077.0985674879994</v>
      </c>
      <c r="J83" s="20">
        <f t="shared" si="7"/>
        <v>370107.03963098431</v>
      </c>
    </row>
    <row r="84" spans="2:10" x14ac:dyDescent="0.3">
      <c r="B84" s="6">
        <v>68</v>
      </c>
      <c r="C84" s="20">
        <f t="shared" si="4"/>
        <v>2666.6666666666665</v>
      </c>
      <c r="D84" s="20">
        <f>IF(B84&gt;$C$11,"", F83*$C$8)</f>
        <v>2259.99999999999</v>
      </c>
      <c r="E84" s="20">
        <f t="shared" si="5"/>
        <v>4926.666666666657</v>
      </c>
      <c r="F84" s="20">
        <f t="shared" si="6"/>
        <v>298666.66666666535</v>
      </c>
      <c r="H84" s="20">
        <f>IF(B84&gt;$C$11,"", $C$10*($C$8*(1+$C$8)^$C$11)/((1+$C$8)^$C$11-1))</f>
        <v>4868.4796039765415</v>
      </c>
      <c r="I84" s="20">
        <f>IF(B84&gt;$C$11,"", H84-(J83*$C$8))</f>
        <v>2092.6768067441594</v>
      </c>
      <c r="J84" s="20">
        <f t="shared" si="7"/>
        <v>368014.36282424012</v>
      </c>
    </row>
    <row r="85" spans="2:10" x14ac:dyDescent="0.3">
      <c r="B85" s="6">
        <v>69</v>
      </c>
      <c r="C85" s="20">
        <f t="shared" si="4"/>
        <v>2666.6666666666665</v>
      </c>
      <c r="D85" s="20">
        <f>IF(B85&gt;$C$11,"", F84*$C$8)</f>
        <v>2239.99999999999</v>
      </c>
      <c r="E85" s="20">
        <f t="shared" si="5"/>
        <v>4906.666666666657</v>
      </c>
      <c r="F85" s="20">
        <f t="shared" si="6"/>
        <v>295999.99999999866</v>
      </c>
      <c r="H85" s="20">
        <f>IF(B85&gt;$C$11,"", $C$10*($C$8*(1+$C$8)^$C$11)/((1+$C$8)^$C$11-1))</f>
        <v>4868.4796039765415</v>
      </c>
      <c r="I85" s="20">
        <f>IF(B85&gt;$C$11,"", H85-(J84*$C$8))</f>
        <v>2108.3718827947409</v>
      </c>
      <c r="J85" s="20">
        <f t="shared" si="7"/>
        <v>365905.9909414454</v>
      </c>
    </row>
    <row r="86" spans="2:10" x14ac:dyDescent="0.3">
      <c r="B86" s="6">
        <v>70</v>
      </c>
      <c r="C86" s="20">
        <f t="shared" si="4"/>
        <v>2666.6666666666665</v>
      </c>
      <c r="D86" s="20">
        <f>IF(B86&gt;$C$11,"", F85*$C$8)</f>
        <v>2219.99999999999</v>
      </c>
      <c r="E86" s="20">
        <f t="shared" si="5"/>
        <v>4886.666666666657</v>
      </c>
      <c r="F86" s="20">
        <f t="shared" si="6"/>
        <v>293333.33333333198</v>
      </c>
      <c r="H86" s="20">
        <f>IF(B86&gt;$C$11,"", $C$10*($C$8*(1+$C$8)^$C$11)/((1+$C$8)^$C$11-1))</f>
        <v>4868.4796039765415</v>
      </c>
      <c r="I86" s="20">
        <f>IF(B86&gt;$C$11,"", H86-(J85*$C$8))</f>
        <v>2124.1846719157011</v>
      </c>
      <c r="J86" s="20">
        <f t="shared" si="7"/>
        <v>363781.80626952968</v>
      </c>
    </row>
    <row r="87" spans="2:10" x14ac:dyDescent="0.3">
      <c r="B87" s="6">
        <v>71</v>
      </c>
      <c r="C87" s="20">
        <f t="shared" si="4"/>
        <v>2666.6666666666665</v>
      </c>
      <c r="D87" s="20">
        <f>IF(B87&gt;$C$11,"", F86*$C$8)</f>
        <v>2199.9999999999895</v>
      </c>
      <c r="E87" s="20">
        <f t="shared" si="5"/>
        <v>4866.6666666666561</v>
      </c>
      <c r="F87" s="20">
        <f t="shared" si="6"/>
        <v>290666.66666666529</v>
      </c>
      <c r="H87" s="20">
        <f>IF(B87&gt;$C$11,"", $C$10*($C$8*(1+$C$8)^$C$11)/((1+$C$8)^$C$11-1))</f>
        <v>4868.4796039765415</v>
      </c>
      <c r="I87" s="20">
        <f>IF(B87&gt;$C$11,"", H87-(J86*$C$8))</f>
        <v>2140.1160569550689</v>
      </c>
      <c r="J87" s="20">
        <f t="shared" si="7"/>
        <v>361641.69021257461</v>
      </c>
    </row>
    <row r="88" spans="2:10" x14ac:dyDescent="0.3">
      <c r="B88" s="6">
        <v>72</v>
      </c>
      <c r="C88" s="20">
        <f t="shared" si="4"/>
        <v>2666.6666666666665</v>
      </c>
      <c r="D88" s="20">
        <f>IF(B88&gt;$C$11,"", F87*$C$8)</f>
        <v>2179.9999999999895</v>
      </c>
      <c r="E88" s="20">
        <f t="shared" si="5"/>
        <v>4846.6666666666561</v>
      </c>
      <c r="F88" s="20">
        <f t="shared" si="6"/>
        <v>287999.9999999986</v>
      </c>
      <c r="H88" s="20">
        <f>IF(B88&gt;$C$11,"", $C$10*($C$8*(1+$C$8)^$C$11)/((1+$C$8)^$C$11-1))</f>
        <v>4868.4796039765415</v>
      </c>
      <c r="I88" s="20">
        <f>IF(B88&gt;$C$11,"", H88-(J87*$C$8))</f>
        <v>2156.1669273822322</v>
      </c>
      <c r="J88" s="20">
        <f t="shared" si="7"/>
        <v>359485.52328519238</v>
      </c>
    </row>
    <row r="89" spans="2:10" x14ac:dyDescent="0.3">
      <c r="B89" s="6">
        <v>73</v>
      </c>
      <c r="C89" s="20">
        <f t="shared" si="4"/>
        <v>2666.6666666666665</v>
      </c>
      <c r="D89" s="20">
        <f>IF(B89&gt;$C$11,"", F88*$C$8)</f>
        <v>2159.9999999999895</v>
      </c>
      <c r="E89" s="20">
        <f t="shared" si="5"/>
        <v>4826.6666666666561</v>
      </c>
      <c r="F89" s="20">
        <f t="shared" si="6"/>
        <v>285333.33333333192</v>
      </c>
      <c r="H89" s="20">
        <f>IF(B89&gt;$C$11,"", $C$10*($C$8*(1+$C$8)^$C$11)/((1+$C$8)^$C$11-1))</f>
        <v>4868.4796039765415</v>
      </c>
      <c r="I89" s="20">
        <f>IF(B89&gt;$C$11,"", H89-(J88*$C$8))</f>
        <v>2172.3381793375988</v>
      </c>
      <c r="J89" s="20">
        <f t="shared" si="7"/>
        <v>357313.18510585476</v>
      </c>
    </row>
    <row r="90" spans="2:10" x14ac:dyDescent="0.3">
      <c r="B90" s="6">
        <v>74</v>
      </c>
      <c r="C90" s="20">
        <f t="shared" si="4"/>
        <v>2666.6666666666665</v>
      </c>
      <c r="D90" s="20">
        <f>IF(B90&gt;$C$11,"", F89*$C$8)</f>
        <v>2139.9999999999891</v>
      </c>
      <c r="E90" s="20">
        <f t="shared" si="5"/>
        <v>4806.6666666666551</v>
      </c>
      <c r="F90" s="20">
        <f t="shared" si="6"/>
        <v>282666.66666666523</v>
      </c>
      <c r="H90" s="20">
        <f>IF(B90&gt;$C$11,"", $C$10*($C$8*(1+$C$8)^$C$11)/((1+$C$8)^$C$11-1))</f>
        <v>4868.4796039765415</v>
      </c>
      <c r="I90" s="20">
        <f>IF(B90&gt;$C$11,"", H90-(J89*$C$8))</f>
        <v>2188.630715682631</v>
      </c>
      <c r="J90" s="20">
        <f t="shared" si="7"/>
        <v>355124.55439017212</v>
      </c>
    </row>
    <row r="91" spans="2:10" x14ac:dyDescent="0.3">
      <c r="B91" s="6">
        <v>75</v>
      </c>
      <c r="C91" s="20">
        <f t="shared" si="4"/>
        <v>2666.6666666666665</v>
      </c>
      <c r="D91" s="20">
        <f>IF(B91&gt;$C$11,"", F90*$C$8)</f>
        <v>2119.9999999999891</v>
      </c>
      <c r="E91" s="20">
        <f t="shared" si="5"/>
        <v>4786.6666666666551</v>
      </c>
      <c r="F91" s="20">
        <f t="shared" si="6"/>
        <v>279999.99999999854</v>
      </c>
      <c r="H91" s="20">
        <f>IF(B91&gt;$C$11,"", $C$10*($C$8*(1+$C$8)^$C$11)/((1+$C$8)^$C$11-1))</f>
        <v>4868.4796039765415</v>
      </c>
      <c r="I91" s="20">
        <f>IF(B91&gt;$C$11,"", H91-(J90*$C$8))</f>
        <v>2205.0454460502506</v>
      </c>
      <c r="J91" s="20">
        <f t="shared" si="7"/>
        <v>352919.50894412189</v>
      </c>
    </row>
    <row r="92" spans="2:10" x14ac:dyDescent="0.3">
      <c r="B92" s="6">
        <v>76</v>
      </c>
      <c r="C92" s="20">
        <f t="shared" si="4"/>
        <v>2666.6666666666665</v>
      </c>
      <c r="D92" s="20">
        <f>IF(B92&gt;$C$11,"", F91*$C$8)</f>
        <v>2099.9999999999891</v>
      </c>
      <c r="E92" s="20">
        <f t="shared" si="5"/>
        <v>4766.6666666666551</v>
      </c>
      <c r="F92" s="20">
        <f t="shared" si="6"/>
        <v>277333.33333333186</v>
      </c>
      <c r="H92" s="20">
        <f>IF(B92&gt;$C$11,"", $C$10*($C$8*(1+$C$8)^$C$11)/((1+$C$8)^$C$11-1))</f>
        <v>4868.4796039765415</v>
      </c>
      <c r="I92" s="20">
        <f>IF(B92&gt;$C$11,"", H92-(J91*$C$8))</f>
        <v>2221.5832868956272</v>
      </c>
      <c r="J92" s="20">
        <f t="shared" si="7"/>
        <v>350697.92565722624</v>
      </c>
    </row>
    <row r="93" spans="2:10" x14ac:dyDescent="0.3">
      <c r="B93" s="6">
        <v>77</v>
      </c>
      <c r="C93" s="20">
        <f t="shared" si="4"/>
        <v>2666.6666666666665</v>
      </c>
      <c r="D93" s="20">
        <f>IF(B93&gt;$C$11,"", F92*$C$8)</f>
        <v>2079.9999999999891</v>
      </c>
      <c r="E93" s="20">
        <f t="shared" si="5"/>
        <v>4746.6666666666551</v>
      </c>
      <c r="F93" s="20">
        <f t="shared" si="6"/>
        <v>274666.66666666517</v>
      </c>
      <c r="H93" s="20">
        <f>IF(B93&gt;$C$11,"", $C$10*($C$8*(1+$C$8)^$C$11)/((1+$C$8)^$C$11-1))</f>
        <v>4868.4796039765415</v>
      </c>
      <c r="I93" s="20">
        <f>IF(B93&gt;$C$11,"", H93-(J92*$C$8))</f>
        <v>2238.2451615473447</v>
      </c>
      <c r="J93" s="20">
        <f t="shared" si="7"/>
        <v>348459.68049567891</v>
      </c>
    </row>
    <row r="94" spans="2:10" x14ac:dyDescent="0.3">
      <c r="B94" s="6">
        <v>78</v>
      </c>
      <c r="C94" s="20">
        <f t="shared" si="4"/>
        <v>2666.6666666666665</v>
      </c>
      <c r="D94" s="20">
        <f>IF(B94&gt;$C$11,"", F93*$C$8)</f>
        <v>2059.9999999999886</v>
      </c>
      <c r="E94" s="20">
        <f t="shared" si="5"/>
        <v>4726.6666666666551</v>
      </c>
      <c r="F94" s="20">
        <f t="shared" si="6"/>
        <v>271999.99999999849</v>
      </c>
      <c r="H94" s="20">
        <f>IF(B94&gt;$C$11,"", $C$10*($C$8*(1+$C$8)^$C$11)/((1+$C$8)^$C$11-1))</f>
        <v>4868.4796039765415</v>
      </c>
      <c r="I94" s="20">
        <f>IF(B94&gt;$C$11,"", H94-(J93*$C$8))</f>
        <v>2255.0320002589497</v>
      </c>
      <c r="J94" s="20">
        <f t="shared" si="7"/>
        <v>346204.64849541994</v>
      </c>
    </row>
    <row r="95" spans="2:10" x14ac:dyDescent="0.3">
      <c r="B95" s="6">
        <v>79</v>
      </c>
      <c r="C95" s="20">
        <f t="shared" si="4"/>
        <v>2666.6666666666665</v>
      </c>
      <c r="D95" s="20">
        <f>IF(B95&gt;$C$11,"", F94*$C$8)</f>
        <v>2039.9999999999886</v>
      </c>
      <c r="E95" s="20">
        <f t="shared" si="5"/>
        <v>4706.6666666666551</v>
      </c>
      <c r="F95" s="20">
        <f t="shared" si="6"/>
        <v>269333.3333333318</v>
      </c>
      <c r="H95" s="20">
        <f>IF(B95&gt;$C$11,"", $C$10*($C$8*(1+$C$8)^$C$11)/((1+$C$8)^$C$11-1))</f>
        <v>4868.4796039765415</v>
      </c>
      <c r="I95" s="20">
        <f>IF(B95&gt;$C$11,"", H95-(J94*$C$8))</f>
        <v>2271.9447402608921</v>
      </c>
      <c r="J95" s="20">
        <f t="shared" si="7"/>
        <v>343932.70375515905</v>
      </c>
    </row>
    <row r="96" spans="2:10" x14ac:dyDescent="0.3">
      <c r="B96" s="6">
        <v>80</v>
      </c>
      <c r="C96" s="20">
        <f t="shared" si="4"/>
        <v>2666.6666666666665</v>
      </c>
      <c r="D96" s="20">
        <f>IF(B96&gt;$C$11,"", F95*$C$8)</f>
        <v>2019.9999999999884</v>
      </c>
      <c r="E96" s="20">
        <f t="shared" si="5"/>
        <v>4686.6666666666551</v>
      </c>
      <c r="F96" s="20">
        <f t="shared" si="6"/>
        <v>266666.66666666511</v>
      </c>
      <c r="H96" s="20">
        <f>IF(B96&gt;$C$11,"", $C$10*($C$8*(1+$C$8)^$C$11)/((1+$C$8)^$C$11-1))</f>
        <v>4868.4796039765415</v>
      </c>
      <c r="I96" s="20">
        <f>IF(B96&gt;$C$11,"", H96-(J95*$C$8))</f>
        <v>2288.984325812849</v>
      </c>
      <c r="J96" s="20">
        <f t="shared" si="7"/>
        <v>341643.71942934621</v>
      </c>
    </row>
    <row r="97" spans="2:10" x14ac:dyDescent="0.3">
      <c r="B97" s="6">
        <v>81</v>
      </c>
      <c r="C97" s="20">
        <f t="shared" si="4"/>
        <v>2666.6666666666665</v>
      </c>
      <c r="D97" s="20">
        <f>IF(B97&gt;$C$11,"", F96*$C$8)</f>
        <v>1999.9999999999882</v>
      </c>
      <c r="E97" s="20">
        <f t="shared" si="5"/>
        <v>4666.6666666666551</v>
      </c>
      <c r="F97" s="20">
        <f t="shared" si="6"/>
        <v>263999.99999999843</v>
      </c>
      <c r="H97" s="20">
        <f>IF(B97&gt;$C$11,"", $C$10*($C$8*(1+$C$8)^$C$11)/((1+$C$8)^$C$11-1))</f>
        <v>4868.4796039765415</v>
      </c>
      <c r="I97" s="20">
        <f>IF(B97&gt;$C$11,"", H97-(J96*$C$8))</f>
        <v>2306.1517082564451</v>
      </c>
      <c r="J97" s="20">
        <f t="shared" si="7"/>
        <v>339337.56772108976</v>
      </c>
    </row>
    <row r="98" spans="2:10" x14ac:dyDescent="0.3">
      <c r="B98" s="6">
        <v>82</v>
      </c>
      <c r="C98" s="20">
        <f t="shared" si="4"/>
        <v>2666.6666666666665</v>
      </c>
      <c r="D98" s="20">
        <f>IF(B98&gt;$C$11,"", F97*$C$8)</f>
        <v>1979.9999999999882</v>
      </c>
      <c r="E98" s="20">
        <f t="shared" si="5"/>
        <v>4646.6666666666551</v>
      </c>
      <c r="F98" s="20">
        <f t="shared" si="6"/>
        <v>261333.33333333177</v>
      </c>
      <c r="H98" s="20">
        <f>IF(B98&gt;$C$11,"", $C$10*($C$8*(1+$C$8)^$C$11)/((1+$C$8)^$C$11-1))</f>
        <v>4868.4796039765415</v>
      </c>
      <c r="I98" s="20">
        <f>IF(B98&gt;$C$11,"", H98-(J97*$C$8))</f>
        <v>2323.4478460683686</v>
      </c>
      <c r="J98" s="20">
        <f t="shared" si="7"/>
        <v>337014.1198750214</v>
      </c>
    </row>
    <row r="99" spans="2:10" x14ac:dyDescent="0.3">
      <c r="B99" s="6">
        <v>83</v>
      </c>
      <c r="C99" s="20">
        <f t="shared" si="4"/>
        <v>2666.6666666666665</v>
      </c>
      <c r="D99" s="20">
        <f>IF(B99&gt;$C$11,"", F98*$C$8)</f>
        <v>1959.9999999999882</v>
      </c>
      <c r="E99" s="20">
        <f t="shared" si="5"/>
        <v>4626.6666666666551</v>
      </c>
      <c r="F99" s="20">
        <f t="shared" si="6"/>
        <v>258666.66666666511</v>
      </c>
      <c r="H99" s="20">
        <f>IF(B99&gt;$C$11,"", $C$10*($C$8*(1+$C$8)^$C$11)/((1+$C$8)^$C$11-1))</f>
        <v>4868.4796039765415</v>
      </c>
      <c r="I99" s="20">
        <f>IF(B99&gt;$C$11,"", H99-(J98*$C$8))</f>
        <v>2340.8737049138813</v>
      </c>
      <c r="J99" s="20">
        <f t="shared" si="7"/>
        <v>334673.24617010751</v>
      </c>
    </row>
    <row r="100" spans="2:10" x14ac:dyDescent="0.3">
      <c r="B100" s="6">
        <v>84</v>
      </c>
      <c r="C100" s="20">
        <f t="shared" si="4"/>
        <v>2666.6666666666665</v>
      </c>
      <c r="D100" s="20">
        <f>IF(B100&gt;$C$11,"", F99*$C$8)</f>
        <v>1939.9999999999882</v>
      </c>
      <c r="E100" s="20">
        <f t="shared" si="5"/>
        <v>4606.6666666666551</v>
      </c>
      <c r="F100" s="20">
        <f t="shared" si="6"/>
        <v>255999.99999999846</v>
      </c>
      <c r="H100" s="20">
        <f>IF(B100&gt;$C$11,"", $C$10*($C$8*(1+$C$8)^$C$11)/((1+$C$8)^$C$11-1))</f>
        <v>4868.4796039765415</v>
      </c>
      <c r="I100" s="20">
        <f>IF(B100&gt;$C$11,"", H100-(J99*$C$8))</f>
        <v>2358.4302577007352</v>
      </c>
      <c r="J100" s="20">
        <f t="shared" si="7"/>
        <v>332314.81591240678</v>
      </c>
    </row>
    <row r="101" spans="2:10" x14ac:dyDescent="0.3">
      <c r="B101" s="6">
        <v>85</v>
      </c>
      <c r="C101" s="20">
        <f t="shared" si="4"/>
        <v>2666.6666666666665</v>
      </c>
      <c r="D101" s="20">
        <f>IF(B101&gt;$C$11,"", F100*$C$8)</f>
        <v>1919.9999999999884</v>
      </c>
      <c r="E101" s="20">
        <f t="shared" si="5"/>
        <v>4586.6666666666551</v>
      </c>
      <c r="F101" s="20">
        <f t="shared" si="6"/>
        <v>253333.3333333318</v>
      </c>
      <c r="H101" s="20">
        <f>IF(B101&gt;$C$11,"", $C$10*($C$8*(1+$C$8)^$C$11)/((1+$C$8)^$C$11-1))</f>
        <v>4868.4796039765415</v>
      </c>
      <c r="I101" s="20">
        <f>IF(B101&gt;$C$11,"", H101-(J100*$C$8))</f>
        <v>2376.1184846334909</v>
      </c>
      <c r="J101" s="20">
        <f t="shared" si="7"/>
        <v>329938.69742777327</v>
      </c>
    </row>
    <row r="102" spans="2:10" x14ac:dyDescent="0.3">
      <c r="B102" s="6">
        <v>86</v>
      </c>
      <c r="C102" s="20">
        <f t="shared" si="4"/>
        <v>2666.6666666666665</v>
      </c>
      <c r="D102" s="20">
        <f>IF(B102&gt;$C$11,"", F101*$C$8)</f>
        <v>1899.9999999999884</v>
      </c>
      <c r="E102" s="20">
        <f t="shared" si="5"/>
        <v>4566.6666666666551</v>
      </c>
      <c r="F102" s="20">
        <f t="shared" si="6"/>
        <v>250666.66666666514</v>
      </c>
      <c r="H102" s="20">
        <f>IF(B102&gt;$C$11,"", $C$10*($C$8*(1+$C$8)^$C$11)/((1+$C$8)^$C$11-1))</f>
        <v>4868.4796039765415</v>
      </c>
      <c r="I102" s="20">
        <f>IF(B102&gt;$C$11,"", H102-(J101*$C$8))</f>
        <v>2393.939373268242</v>
      </c>
      <c r="J102" s="20">
        <f t="shared" si="7"/>
        <v>327544.75805450504</v>
      </c>
    </row>
    <row r="103" spans="2:10" x14ac:dyDescent="0.3">
      <c r="B103" s="6">
        <v>87</v>
      </c>
      <c r="C103" s="20">
        <f t="shared" si="4"/>
        <v>2666.6666666666665</v>
      </c>
      <c r="D103" s="20">
        <f>IF(B103&gt;$C$11,"", F102*$C$8)</f>
        <v>1879.9999999999884</v>
      </c>
      <c r="E103" s="20">
        <f t="shared" si="5"/>
        <v>4546.6666666666551</v>
      </c>
      <c r="F103" s="20">
        <f t="shared" si="6"/>
        <v>247999.99999999849</v>
      </c>
      <c r="H103" s="20">
        <f>IF(B103&gt;$C$11,"", $C$10*($C$8*(1+$C$8)^$C$11)/((1+$C$8)^$C$11-1))</f>
        <v>4868.4796039765415</v>
      </c>
      <c r="I103" s="20">
        <f>IF(B103&gt;$C$11,"", H103-(J102*$C$8))</f>
        <v>2411.8939185677536</v>
      </c>
      <c r="J103" s="20">
        <f t="shared" si="7"/>
        <v>325132.8641359373</v>
      </c>
    </row>
    <row r="104" spans="2:10" x14ac:dyDescent="0.3">
      <c r="B104" s="6">
        <v>88</v>
      </c>
      <c r="C104" s="20">
        <f t="shared" si="4"/>
        <v>2666.6666666666665</v>
      </c>
      <c r="D104" s="20">
        <f>IF(B104&gt;$C$11,"", F103*$C$8)</f>
        <v>1859.9999999999886</v>
      </c>
      <c r="E104" s="20">
        <f t="shared" si="5"/>
        <v>4526.6666666666551</v>
      </c>
      <c r="F104" s="20">
        <f t="shared" si="6"/>
        <v>245333.33333333183</v>
      </c>
      <c r="H104" s="20">
        <f>IF(B104&gt;$C$11,"", $C$10*($C$8*(1+$C$8)^$C$11)/((1+$C$8)^$C$11-1))</f>
        <v>4868.4796039765415</v>
      </c>
      <c r="I104" s="20">
        <f>IF(B104&gt;$C$11,"", H104-(J103*$C$8))</f>
        <v>2429.9831229570118</v>
      </c>
      <c r="J104" s="20">
        <f t="shared" si="7"/>
        <v>322702.8810129803</v>
      </c>
    </row>
    <row r="105" spans="2:10" x14ac:dyDescent="0.3">
      <c r="B105" s="6">
        <v>89</v>
      </c>
      <c r="C105" s="20">
        <f t="shared" si="4"/>
        <v>2666.6666666666665</v>
      </c>
      <c r="D105" s="20">
        <f>IF(B105&gt;$C$11,"", F104*$C$8)</f>
        <v>1839.9999999999886</v>
      </c>
      <c r="E105" s="20">
        <f t="shared" si="5"/>
        <v>4506.6666666666551</v>
      </c>
      <c r="F105" s="20">
        <f t="shared" si="6"/>
        <v>242666.66666666517</v>
      </c>
      <c r="H105" s="20">
        <f>IF(B105&gt;$C$11,"", $C$10*($C$8*(1+$C$8)^$C$11)/((1+$C$8)^$C$11-1))</f>
        <v>4868.4796039765415</v>
      </c>
      <c r="I105" s="20">
        <f>IF(B105&gt;$C$11,"", H105-(J104*$C$8))</f>
        <v>2448.2079963791894</v>
      </c>
      <c r="J105" s="20">
        <f t="shared" si="7"/>
        <v>320254.67301660113</v>
      </c>
    </row>
    <row r="106" spans="2:10" x14ac:dyDescent="0.3">
      <c r="B106" s="6">
        <v>90</v>
      </c>
      <c r="C106" s="20">
        <f t="shared" si="4"/>
        <v>2666.6666666666665</v>
      </c>
      <c r="D106" s="20">
        <f>IF(B106&gt;$C$11,"", F105*$C$8)</f>
        <v>1819.9999999999886</v>
      </c>
      <c r="E106" s="20">
        <f t="shared" si="5"/>
        <v>4486.6666666666551</v>
      </c>
      <c r="F106" s="20">
        <f t="shared" si="6"/>
        <v>239999.99999999852</v>
      </c>
      <c r="H106" s="20">
        <f>IF(B106&gt;$C$11,"", $C$10*($C$8*(1+$C$8)^$C$11)/((1+$C$8)^$C$11-1))</f>
        <v>4868.4796039765415</v>
      </c>
      <c r="I106" s="20">
        <f>IF(B106&gt;$C$11,"", H106-(J105*$C$8))</f>
        <v>2466.569556352033</v>
      </c>
      <c r="J106" s="20">
        <f t="shared" si="7"/>
        <v>317788.10346024908</v>
      </c>
    </row>
    <row r="107" spans="2:10" x14ac:dyDescent="0.3">
      <c r="B107" s="6">
        <v>91</v>
      </c>
      <c r="C107" s="20">
        <f t="shared" si="4"/>
        <v>2666.6666666666665</v>
      </c>
      <c r="D107" s="20">
        <f>IF(B107&gt;$C$11,"", F106*$C$8)</f>
        <v>1799.9999999999889</v>
      </c>
      <c r="E107" s="20">
        <f t="shared" si="5"/>
        <v>4466.6666666666551</v>
      </c>
      <c r="F107" s="20">
        <f t="shared" si="6"/>
        <v>237333.33333333186</v>
      </c>
      <c r="H107" s="20">
        <f>IF(B107&gt;$C$11,"", $C$10*($C$8*(1+$C$8)^$C$11)/((1+$C$8)^$C$11-1))</f>
        <v>4868.4796039765415</v>
      </c>
      <c r="I107" s="20">
        <f>IF(B107&gt;$C$11,"", H107-(J106*$C$8))</f>
        <v>2485.0688280246736</v>
      </c>
      <c r="J107" s="20">
        <f t="shared" si="7"/>
        <v>315303.03463222441</v>
      </c>
    </row>
    <row r="108" spans="2:10" x14ac:dyDescent="0.3">
      <c r="B108" s="6">
        <v>92</v>
      </c>
      <c r="C108" s="20">
        <f t="shared" si="4"/>
        <v>2666.6666666666665</v>
      </c>
      <c r="D108" s="20">
        <f>IF(B108&gt;$C$11,"", F107*$C$8)</f>
        <v>1779.9999999999889</v>
      </c>
      <c r="E108" s="20">
        <f t="shared" si="5"/>
        <v>4446.6666666666551</v>
      </c>
      <c r="F108" s="20">
        <f t="shared" si="6"/>
        <v>234666.6666666652</v>
      </c>
      <c r="H108" s="20">
        <f>IF(B108&gt;$C$11,"", $C$10*($C$8*(1+$C$8)^$C$11)/((1+$C$8)^$C$11-1))</f>
        <v>4868.4796039765415</v>
      </c>
      <c r="I108" s="20">
        <f>IF(B108&gt;$C$11,"", H108-(J107*$C$8))</f>
        <v>2503.7068442348586</v>
      </c>
      <c r="J108" s="20">
        <f t="shared" si="7"/>
        <v>312799.32778798958</v>
      </c>
    </row>
    <row r="109" spans="2:10" x14ac:dyDescent="0.3">
      <c r="B109" s="6">
        <v>93</v>
      </c>
      <c r="C109" s="20">
        <f t="shared" si="4"/>
        <v>2666.6666666666665</v>
      </c>
      <c r="D109" s="20">
        <f>IF(B109&gt;$C$11,"", F108*$C$8)</f>
        <v>1759.9999999999889</v>
      </c>
      <c r="E109" s="20">
        <f t="shared" si="5"/>
        <v>4426.6666666666551</v>
      </c>
      <c r="F109" s="20">
        <f t="shared" si="6"/>
        <v>231999.99999999854</v>
      </c>
      <c r="H109" s="20">
        <f>IF(B109&gt;$C$11,"", $C$10*($C$8*(1+$C$8)^$C$11)/((1+$C$8)^$C$11-1))</f>
        <v>4868.4796039765415</v>
      </c>
      <c r="I109" s="20">
        <f>IF(B109&gt;$C$11,"", H109-(J108*$C$8))</f>
        <v>2522.4846455666197</v>
      </c>
      <c r="J109" s="20">
        <f t="shared" si="7"/>
        <v>310276.84314242296</v>
      </c>
    </row>
    <row r="110" spans="2:10" x14ac:dyDescent="0.3">
      <c r="B110" s="6">
        <v>94</v>
      </c>
      <c r="C110" s="20">
        <f t="shared" si="4"/>
        <v>2666.6666666666665</v>
      </c>
      <c r="D110" s="20">
        <f>IF(B110&gt;$C$11,"", F109*$C$8)</f>
        <v>1739.9999999999891</v>
      </c>
      <c r="E110" s="20">
        <f t="shared" si="5"/>
        <v>4406.6666666666551</v>
      </c>
      <c r="F110" s="20">
        <f t="shared" si="6"/>
        <v>229333.33333333189</v>
      </c>
      <c r="H110" s="20">
        <f>IF(B110&gt;$C$11,"", $C$10*($C$8*(1+$C$8)^$C$11)/((1+$C$8)^$C$11-1))</f>
        <v>4868.4796039765415</v>
      </c>
      <c r="I110" s="20">
        <f>IF(B110&gt;$C$11,"", H110-(J109*$C$8))</f>
        <v>2541.4032804083695</v>
      </c>
      <c r="J110" s="20">
        <f t="shared" si="7"/>
        <v>307735.43986201461</v>
      </c>
    </row>
    <row r="111" spans="2:10" x14ac:dyDescent="0.3">
      <c r="B111" s="6">
        <v>95</v>
      </c>
      <c r="C111" s="20">
        <f t="shared" si="4"/>
        <v>2666.6666666666665</v>
      </c>
      <c r="D111" s="20">
        <f>IF(B111&gt;$C$11,"", F110*$C$8)</f>
        <v>1719.9999999999891</v>
      </c>
      <c r="E111" s="20">
        <f t="shared" si="5"/>
        <v>4386.6666666666551</v>
      </c>
      <c r="F111" s="20">
        <f t="shared" si="6"/>
        <v>226666.66666666523</v>
      </c>
      <c r="H111" s="20">
        <f>IF(B111&gt;$C$11,"", $C$10*($C$8*(1+$C$8)^$C$11)/((1+$C$8)^$C$11-1))</f>
        <v>4868.4796039765415</v>
      </c>
      <c r="I111" s="20">
        <f>IF(B111&gt;$C$11,"", H111-(J110*$C$8))</f>
        <v>2560.4638050114322</v>
      </c>
      <c r="J111" s="20">
        <f t="shared" si="7"/>
        <v>305174.97605700319</v>
      </c>
    </row>
    <row r="112" spans="2:10" x14ac:dyDescent="0.3">
      <c r="B112" s="6">
        <v>96</v>
      </c>
      <c r="C112" s="20">
        <f t="shared" si="4"/>
        <v>2666.6666666666665</v>
      </c>
      <c r="D112" s="20">
        <f>IF(B112&gt;$C$11,"", F111*$C$8)</f>
        <v>1699.9999999999891</v>
      </c>
      <c r="E112" s="20">
        <f t="shared" si="5"/>
        <v>4366.6666666666551</v>
      </c>
      <c r="F112" s="20">
        <f t="shared" si="6"/>
        <v>223999.99999999857</v>
      </c>
      <c r="H112" s="20">
        <f>IF(B112&gt;$C$11,"", $C$10*($C$8*(1+$C$8)^$C$11)/((1+$C$8)^$C$11-1))</f>
        <v>4868.4796039765415</v>
      </c>
      <c r="I112" s="20">
        <f>IF(B112&gt;$C$11,"", H112-(J111*$C$8))</f>
        <v>2579.6672835490176</v>
      </c>
      <c r="J112" s="20">
        <f t="shared" si="7"/>
        <v>302595.30877345416</v>
      </c>
    </row>
    <row r="113" spans="2:10" x14ac:dyDescent="0.3">
      <c r="B113" s="6">
        <v>97</v>
      </c>
      <c r="C113" s="20">
        <f t="shared" si="4"/>
        <v>2666.6666666666665</v>
      </c>
      <c r="D113" s="20">
        <f>IF(B113&gt;$C$11,"", F112*$C$8)</f>
        <v>1679.9999999999893</v>
      </c>
      <c r="E113" s="20">
        <f t="shared" si="5"/>
        <v>4346.6666666666561</v>
      </c>
      <c r="F113" s="20">
        <f t="shared" si="6"/>
        <v>221333.33333333192</v>
      </c>
      <c r="H113" s="20">
        <f>IF(B113&gt;$C$11,"", $C$10*($C$8*(1+$C$8)^$C$11)/((1+$C$8)^$C$11-1))</f>
        <v>4868.4796039765415</v>
      </c>
      <c r="I113" s="20">
        <f>IF(B113&gt;$C$11,"", H113-(J112*$C$8))</f>
        <v>2599.0147881756352</v>
      </c>
      <c r="J113" s="20">
        <f t="shared" si="7"/>
        <v>299996.29398527852</v>
      </c>
    </row>
    <row r="114" spans="2:10" x14ac:dyDescent="0.3">
      <c r="B114" s="6">
        <v>98</v>
      </c>
      <c r="C114" s="20">
        <f t="shared" si="4"/>
        <v>2666.6666666666665</v>
      </c>
      <c r="D114" s="20">
        <f>IF(B114&gt;$C$11,"", F113*$C$8)</f>
        <v>1659.9999999999893</v>
      </c>
      <c r="E114" s="20">
        <f t="shared" si="5"/>
        <v>4326.6666666666561</v>
      </c>
      <c r="F114" s="20">
        <f t="shared" si="6"/>
        <v>218666.66666666526</v>
      </c>
      <c r="H114" s="20">
        <f>IF(B114&gt;$C$11,"", $C$10*($C$8*(1+$C$8)^$C$11)/((1+$C$8)^$C$11-1))</f>
        <v>4868.4796039765415</v>
      </c>
      <c r="I114" s="20">
        <f>IF(B114&gt;$C$11,"", H114-(J113*$C$8))</f>
        <v>2618.5073990869528</v>
      </c>
      <c r="J114" s="20">
        <f t="shared" si="7"/>
        <v>297377.78658619156</v>
      </c>
    </row>
    <row r="115" spans="2:10" x14ac:dyDescent="0.3">
      <c r="B115" s="6">
        <v>99</v>
      </c>
      <c r="C115" s="20">
        <f t="shared" si="4"/>
        <v>2666.6666666666665</v>
      </c>
      <c r="D115" s="20">
        <f>IF(B115&gt;$C$11,"", F114*$C$8)</f>
        <v>1639.9999999999893</v>
      </c>
      <c r="E115" s="20">
        <f t="shared" si="5"/>
        <v>4306.6666666666561</v>
      </c>
      <c r="F115" s="20">
        <f t="shared" si="6"/>
        <v>215999.9999999986</v>
      </c>
      <c r="H115" s="20">
        <f>IF(B115&gt;$C$11,"", $C$10*($C$8*(1+$C$8)^$C$11)/((1+$C$8)^$C$11-1))</f>
        <v>4868.4796039765415</v>
      </c>
      <c r="I115" s="20">
        <f>IF(B115&gt;$C$11,"", H115-(J114*$C$8))</f>
        <v>2638.1462045801049</v>
      </c>
      <c r="J115" s="20">
        <f t="shared" si="7"/>
        <v>294739.64038161148</v>
      </c>
    </row>
    <row r="116" spans="2:10" x14ac:dyDescent="0.3">
      <c r="B116" s="6">
        <v>100</v>
      </c>
      <c r="C116" s="20">
        <f t="shared" si="4"/>
        <v>2666.6666666666665</v>
      </c>
      <c r="D116" s="20">
        <f>IF(B116&gt;$C$11,"", F115*$C$8)</f>
        <v>1619.9999999999895</v>
      </c>
      <c r="E116" s="20">
        <f t="shared" si="5"/>
        <v>4286.6666666666561</v>
      </c>
      <c r="F116" s="20">
        <f t="shared" si="6"/>
        <v>213333.33333333195</v>
      </c>
      <c r="H116" s="20">
        <f>IF(B116&gt;$C$11,"", $C$10*($C$8*(1+$C$8)^$C$11)/((1+$C$8)^$C$11-1))</f>
        <v>4868.4796039765415</v>
      </c>
      <c r="I116" s="20">
        <f>IF(B116&gt;$C$11,"", H116-(J115*$C$8))</f>
        <v>2657.9323011144556</v>
      </c>
      <c r="J116" s="20">
        <f t="shared" si="7"/>
        <v>292081.70808049705</v>
      </c>
    </row>
    <row r="117" spans="2:10" x14ac:dyDescent="0.3">
      <c r="B117" s="6">
        <v>101</v>
      </c>
      <c r="C117" s="20">
        <f t="shared" si="4"/>
        <v>2666.6666666666665</v>
      </c>
      <c r="D117" s="20">
        <f>IF(B117&gt;$C$11,"", F116*$C$8)</f>
        <v>1599.9999999999895</v>
      </c>
      <c r="E117" s="20">
        <f t="shared" si="5"/>
        <v>4266.6666666666561</v>
      </c>
      <c r="F117" s="20">
        <f t="shared" si="6"/>
        <v>210666.66666666529</v>
      </c>
      <c r="H117" s="20">
        <f>IF(B117&gt;$C$11,"", $C$10*($C$8*(1+$C$8)^$C$11)/((1+$C$8)^$C$11-1))</f>
        <v>4868.4796039765415</v>
      </c>
      <c r="I117" s="20">
        <f>IF(B117&gt;$C$11,"", H117-(J116*$C$8))</f>
        <v>2677.8667933728138</v>
      </c>
      <c r="J117" s="20">
        <f t="shared" si="7"/>
        <v>289403.8412871242</v>
      </c>
    </row>
    <row r="118" spans="2:10" x14ac:dyDescent="0.3">
      <c r="B118" s="6">
        <v>102</v>
      </c>
      <c r="C118" s="20">
        <f t="shared" si="4"/>
        <v>2666.6666666666665</v>
      </c>
      <c r="D118" s="20">
        <f>IF(B118&gt;$C$11,"", F117*$C$8)</f>
        <v>1579.9999999999895</v>
      </c>
      <c r="E118" s="20">
        <f t="shared" si="5"/>
        <v>4246.6666666666561</v>
      </c>
      <c r="F118" s="20">
        <f t="shared" si="6"/>
        <v>207999.99999999863</v>
      </c>
      <c r="H118" s="20">
        <f>IF(B118&gt;$C$11,"", $C$10*($C$8*(1+$C$8)^$C$11)/((1+$C$8)^$C$11-1))</f>
        <v>4868.4796039765415</v>
      </c>
      <c r="I118" s="20">
        <f>IF(B118&gt;$C$11,"", H118-(J117*$C$8))</f>
        <v>2697.9507943231101</v>
      </c>
      <c r="J118" s="20">
        <f t="shared" si="7"/>
        <v>286705.89049280109</v>
      </c>
    </row>
    <row r="119" spans="2:10" x14ac:dyDescent="0.3">
      <c r="B119" s="6">
        <v>103</v>
      </c>
      <c r="C119" s="20">
        <f t="shared" si="4"/>
        <v>2666.6666666666665</v>
      </c>
      <c r="D119" s="20">
        <f>IF(B119&gt;$C$11,"", F118*$C$8)</f>
        <v>1559.9999999999898</v>
      </c>
      <c r="E119" s="20">
        <f t="shared" si="5"/>
        <v>4226.6666666666561</v>
      </c>
      <c r="F119" s="20">
        <f t="shared" si="6"/>
        <v>205333.33333333198</v>
      </c>
      <c r="H119" s="20">
        <f>IF(B119&gt;$C$11,"", $C$10*($C$8*(1+$C$8)^$C$11)/((1+$C$8)^$C$11-1))</f>
        <v>4868.4796039765415</v>
      </c>
      <c r="I119" s="20">
        <f>IF(B119&gt;$C$11,"", H119-(J118*$C$8))</f>
        <v>2718.1854252805333</v>
      </c>
      <c r="J119" s="20">
        <f t="shared" si="7"/>
        <v>283987.70506752055</v>
      </c>
    </row>
    <row r="120" spans="2:10" x14ac:dyDescent="0.3">
      <c r="B120" s="6">
        <v>104</v>
      </c>
      <c r="C120" s="20">
        <f t="shared" si="4"/>
        <v>2666.6666666666665</v>
      </c>
      <c r="D120" s="20">
        <f>IF(B120&gt;$C$11,"", F119*$C$8)</f>
        <v>1539.9999999999898</v>
      </c>
      <c r="E120" s="20">
        <f t="shared" si="5"/>
        <v>4206.6666666666561</v>
      </c>
      <c r="F120" s="20">
        <f t="shared" si="6"/>
        <v>202666.66666666532</v>
      </c>
      <c r="H120" s="20">
        <f>IF(B120&gt;$C$11,"", $C$10*($C$8*(1+$C$8)^$C$11)/((1+$C$8)^$C$11-1))</f>
        <v>4868.4796039765415</v>
      </c>
      <c r="I120" s="20">
        <f>IF(B120&gt;$C$11,"", H120-(J119*$C$8))</f>
        <v>2738.5718159701373</v>
      </c>
      <c r="J120" s="20">
        <f t="shared" si="7"/>
        <v>281249.13325155043</v>
      </c>
    </row>
    <row r="121" spans="2:10" x14ac:dyDescent="0.3">
      <c r="B121" s="6">
        <v>105</v>
      </c>
      <c r="C121" s="20">
        <f t="shared" si="4"/>
        <v>2666.6666666666665</v>
      </c>
      <c r="D121" s="20">
        <f>IF(B121&gt;$C$11,"", F120*$C$8)</f>
        <v>1519.9999999999898</v>
      </c>
      <c r="E121" s="20">
        <f t="shared" si="5"/>
        <v>4186.6666666666561</v>
      </c>
      <c r="F121" s="20">
        <f t="shared" si="6"/>
        <v>199999.99999999866</v>
      </c>
      <c r="H121" s="20">
        <f>IF(B121&gt;$C$11,"", $C$10*($C$8*(1+$C$8)^$C$11)/((1+$C$8)^$C$11-1))</f>
        <v>4868.4796039765415</v>
      </c>
      <c r="I121" s="20">
        <f>IF(B121&gt;$C$11,"", H121-(J120*$C$8))</f>
        <v>2759.1111045899133</v>
      </c>
      <c r="J121" s="20">
        <f t="shared" si="7"/>
        <v>278490.02214696055</v>
      </c>
    </row>
    <row r="122" spans="2:10" x14ac:dyDescent="0.3">
      <c r="B122" s="6">
        <v>106</v>
      </c>
      <c r="C122" s="20">
        <f t="shared" si="4"/>
        <v>2666.6666666666665</v>
      </c>
      <c r="D122" s="20">
        <f>IF(B122&gt;$C$11,"", F121*$C$8)</f>
        <v>1499.99999999999</v>
      </c>
      <c r="E122" s="20">
        <f t="shared" si="5"/>
        <v>4166.666666666657</v>
      </c>
      <c r="F122" s="20">
        <f t="shared" si="6"/>
        <v>197333.333333332</v>
      </c>
      <c r="H122" s="20">
        <f>IF(B122&gt;$C$11,"", $C$10*($C$8*(1+$C$8)^$C$11)/((1+$C$8)^$C$11-1))</f>
        <v>4868.4796039765415</v>
      </c>
      <c r="I122" s="20">
        <f>IF(B122&gt;$C$11,"", H122-(J121*$C$8))</f>
        <v>2779.8044378743375</v>
      </c>
      <c r="J122" s="20">
        <f t="shared" si="7"/>
        <v>275710.2177090862</v>
      </c>
    </row>
    <row r="123" spans="2:10" x14ac:dyDescent="0.3">
      <c r="B123" s="6">
        <v>107</v>
      </c>
      <c r="C123" s="20">
        <f t="shared" si="4"/>
        <v>2666.6666666666665</v>
      </c>
      <c r="D123" s="20">
        <f>IF(B123&gt;$C$11,"", F122*$C$8)</f>
        <v>1479.99999999999</v>
      </c>
      <c r="E123" s="20">
        <f t="shared" si="5"/>
        <v>4146.666666666657</v>
      </c>
      <c r="F123" s="20">
        <f t="shared" si="6"/>
        <v>194666.66666666535</v>
      </c>
      <c r="H123" s="20">
        <f>IF(B123&gt;$C$11,"", $C$10*($C$8*(1+$C$8)^$C$11)/((1+$C$8)^$C$11-1))</f>
        <v>4868.4796039765415</v>
      </c>
      <c r="I123" s="20">
        <f>IF(B123&gt;$C$11,"", H123-(J122*$C$8))</f>
        <v>2800.6529711583953</v>
      </c>
      <c r="J123" s="20">
        <f t="shared" si="7"/>
        <v>272909.56473792781</v>
      </c>
    </row>
    <row r="124" spans="2:10" x14ac:dyDescent="0.3">
      <c r="B124" s="6">
        <v>108</v>
      </c>
      <c r="C124" s="20">
        <f t="shared" si="4"/>
        <v>2666.6666666666665</v>
      </c>
      <c r="D124" s="20">
        <f>IF(B124&gt;$C$11,"", F123*$C$8)</f>
        <v>1459.99999999999</v>
      </c>
      <c r="E124" s="20">
        <f t="shared" si="5"/>
        <v>4126.666666666657</v>
      </c>
      <c r="F124" s="20">
        <f t="shared" si="6"/>
        <v>191999.99999999869</v>
      </c>
      <c r="H124" s="20">
        <f>IF(B124&gt;$C$11,"", $C$10*($C$8*(1+$C$8)^$C$11)/((1+$C$8)^$C$11-1))</f>
        <v>4868.4796039765415</v>
      </c>
      <c r="I124" s="20">
        <f>IF(B124&gt;$C$11,"", H124-(J123*$C$8))</f>
        <v>2821.6578684420829</v>
      </c>
      <c r="J124" s="20">
        <f t="shared" si="7"/>
        <v>270087.90686948574</v>
      </c>
    </row>
    <row r="125" spans="2:10" x14ac:dyDescent="0.3">
      <c r="B125" s="6">
        <v>109</v>
      </c>
      <c r="C125" s="20">
        <f t="shared" si="4"/>
        <v>2666.6666666666665</v>
      </c>
      <c r="D125" s="20">
        <f>IF(B125&gt;$C$11,"", F124*$C$8)</f>
        <v>1439.9999999999902</v>
      </c>
      <c r="E125" s="20">
        <f t="shared" si="5"/>
        <v>4106.666666666657</v>
      </c>
      <c r="F125" s="20">
        <f t="shared" si="6"/>
        <v>189333.33333333203</v>
      </c>
      <c r="H125" s="20">
        <f>IF(B125&gt;$C$11,"", $C$10*($C$8*(1+$C$8)^$C$11)/((1+$C$8)^$C$11-1))</f>
        <v>4868.4796039765415</v>
      </c>
      <c r="I125" s="20">
        <f>IF(B125&gt;$C$11,"", H125-(J124*$C$8))</f>
        <v>2842.8203024553986</v>
      </c>
      <c r="J125" s="20">
        <f t="shared" si="7"/>
        <v>267245.08656703035</v>
      </c>
    </row>
    <row r="126" spans="2:10" x14ac:dyDescent="0.3">
      <c r="B126" s="6">
        <v>110</v>
      </c>
      <c r="C126" s="20">
        <f t="shared" si="4"/>
        <v>2666.6666666666665</v>
      </c>
      <c r="D126" s="20">
        <f>IF(B126&gt;$C$11,"", F125*$C$8)</f>
        <v>1419.9999999999902</v>
      </c>
      <c r="E126" s="20">
        <f t="shared" si="5"/>
        <v>4086.666666666657</v>
      </c>
      <c r="F126" s="20">
        <f t="shared" si="6"/>
        <v>186666.66666666538</v>
      </c>
      <c r="H126" s="20">
        <f>IF(B126&gt;$C$11,"", $C$10*($C$8*(1+$C$8)^$C$11)/((1+$C$8)^$C$11-1))</f>
        <v>4868.4796039765415</v>
      </c>
      <c r="I126" s="20">
        <f>IF(B126&gt;$C$11,"", H126-(J125*$C$8))</f>
        <v>2864.1414547238137</v>
      </c>
      <c r="J126" s="20">
        <f t="shared" si="7"/>
        <v>264380.94511230651</v>
      </c>
    </row>
    <row r="127" spans="2:10" x14ac:dyDescent="0.3">
      <c r="B127" s="6">
        <v>111</v>
      </c>
      <c r="C127" s="20">
        <f t="shared" si="4"/>
        <v>2666.6666666666665</v>
      </c>
      <c r="D127" s="20">
        <f>IF(B127&gt;$C$11,"", F126*$C$8)</f>
        <v>1399.9999999999902</v>
      </c>
      <c r="E127" s="20">
        <f t="shared" si="5"/>
        <v>4066.666666666657</v>
      </c>
      <c r="F127" s="20">
        <f t="shared" si="6"/>
        <v>183999.99999999872</v>
      </c>
      <c r="H127" s="20">
        <f>IF(B127&gt;$C$11,"", $C$10*($C$8*(1+$C$8)^$C$11)/((1+$C$8)^$C$11-1))</f>
        <v>4868.4796039765415</v>
      </c>
      <c r="I127" s="20">
        <f>IF(B127&gt;$C$11,"", H127-(J126*$C$8))</f>
        <v>2885.6225156342425</v>
      </c>
      <c r="J127" s="20">
        <f t="shared" si="7"/>
        <v>261495.32259667225</v>
      </c>
    </row>
    <row r="128" spans="2:10" x14ac:dyDescent="0.3">
      <c r="B128" s="6">
        <v>112</v>
      </c>
      <c r="C128" s="20">
        <f t="shared" si="4"/>
        <v>2666.6666666666665</v>
      </c>
      <c r="D128" s="20">
        <f>IF(B128&gt;$C$11,"", F127*$C$8)</f>
        <v>1379.9999999999905</v>
      </c>
      <c r="E128" s="20">
        <f t="shared" si="5"/>
        <v>4046.666666666657</v>
      </c>
      <c r="F128" s="20">
        <f t="shared" si="6"/>
        <v>181333.33333333206</v>
      </c>
      <c r="H128" s="20">
        <f>IF(B128&gt;$C$11,"", $C$10*($C$8*(1+$C$8)^$C$11)/((1+$C$8)^$C$11-1))</f>
        <v>4868.4796039765415</v>
      </c>
      <c r="I128" s="20">
        <f>IF(B128&gt;$C$11,"", H128-(J127*$C$8))</f>
        <v>2907.2646845014997</v>
      </c>
      <c r="J128" s="20">
        <f t="shared" si="7"/>
        <v>258588.05791217074</v>
      </c>
    </row>
    <row r="129" spans="2:10" x14ac:dyDescent="0.3">
      <c r="B129" s="6">
        <v>113</v>
      </c>
      <c r="C129" s="20">
        <f t="shared" si="4"/>
        <v>2666.6666666666665</v>
      </c>
      <c r="D129" s="20">
        <f>IF(B129&gt;$C$11,"", F128*$C$8)</f>
        <v>1359.9999999999905</v>
      </c>
      <c r="E129" s="20">
        <f t="shared" si="5"/>
        <v>4026.666666666657</v>
      </c>
      <c r="F129" s="20">
        <f t="shared" si="6"/>
        <v>178666.66666666541</v>
      </c>
      <c r="H129" s="20">
        <f>IF(B129&gt;$C$11,"", $C$10*($C$8*(1+$C$8)^$C$11)/((1+$C$8)^$C$11-1))</f>
        <v>4868.4796039765415</v>
      </c>
      <c r="I129" s="20">
        <f>IF(B129&gt;$C$11,"", H129-(J128*$C$8))</f>
        <v>2929.069169635261</v>
      </c>
      <c r="J129" s="20">
        <f t="shared" si="7"/>
        <v>255658.98874253547</v>
      </c>
    </row>
    <row r="130" spans="2:10" x14ac:dyDescent="0.3">
      <c r="B130" s="6">
        <v>114</v>
      </c>
      <c r="C130" s="20">
        <f t="shared" si="4"/>
        <v>2666.6666666666665</v>
      </c>
      <c r="D130" s="20">
        <f>IF(B130&gt;$C$11,"", F129*$C$8)</f>
        <v>1339.9999999999905</v>
      </c>
      <c r="E130" s="20">
        <f t="shared" si="5"/>
        <v>4006.666666666657</v>
      </c>
      <c r="F130" s="20">
        <f t="shared" si="6"/>
        <v>175999.99999999875</v>
      </c>
      <c r="H130" s="20">
        <f>IF(B130&gt;$C$11,"", $C$10*($C$8*(1+$C$8)^$C$11)/((1+$C$8)^$C$11-1))</f>
        <v>4868.4796039765415</v>
      </c>
      <c r="I130" s="20">
        <f>IF(B130&gt;$C$11,"", H130-(J129*$C$8))</f>
        <v>2951.0371884075257</v>
      </c>
      <c r="J130" s="20">
        <f t="shared" si="7"/>
        <v>252707.95155412794</v>
      </c>
    </row>
    <row r="131" spans="2:10" x14ac:dyDescent="0.3">
      <c r="B131" s="6">
        <v>115</v>
      </c>
      <c r="C131" s="20">
        <f t="shared" si="4"/>
        <v>2666.6666666666665</v>
      </c>
      <c r="D131" s="20">
        <f>IF(B131&gt;$C$11,"", F130*$C$8)</f>
        <v>1319.9999999999907</v>
      </c>
      <c r="E131" s="20">
        <f t="shared" si="5"/>
        <v>3986.666666666657</v>
      </c>
      <c r="F131" s="20">
        <f t="shared" si="6"/>
        <v>173333.33333333209</v>
      </c>
      <c r="H131" s="20">
        <f>IF(B131&gt;$C$11,"", $C$10*($C$8*(1+$C$8)^$C$11)/((1+$C$8)^$C$11-1))</f>
        <v>4868.4796039765415</v>
      </c>
      <c r="I131" s="20">
        <f>IF(B131&gt;$C$11,"", H131-(J130*$C$8))</f>
        <v>2973.1699673205821</v>
      </c>
      <c r="J131" s="20">
        <f t="shared" si="7"/>
        <v>249734.78158680737</v>
      </c>
    </row>
    <row r="132" spans="2:10" x14ac:dyDescent="0.3">
      <c r="B132" s="6">
        <v>116</v>
      </c>
      <c r="C132" s="20">
        <f t="shared" si="4"/>
        <v>2666.6666666666665</v>
      </c>
      <c r="D132" s="20">
        <f>IF(B132&gt;$C$11,"", F131*$C$8)</f>
        <v>1299.9999999999907</v>
      </c>
      <c r="E132" s="20">
        <f t="shared" si="5"/>
        <v>3966.666666666657</v>
      </c>
      <c r="F132" s="20">
        <f t="shared" si="6"/>
        <v>170666.66666666543</v>
      </c>
      <c r="H132" s="20">
        <f>IF(B132&gt;$C$11,"", $C$10*($C$8*(1+$C$8)^$C$11)/((1+$C$8)^$C$11-1))</f>
        <v>4868.4796039765415</v>
      </c>
      <c r="I132" s="20">
        <f>IF(B132&gt;$C$11,"", H132-(J131*$C$8))</f>
        <v>2995.4687420754863</v>
      </c>
      <c r="J132" s="20">
        <f t="shared" si="7"/>
        <v>246739.31284473187</v>
      </c>
    </row>
    <row r="133" spans="2:10" x14ac:dyDescent="0.3">
      <c r="B133" s="6">
        <v>117</v>
      </c>
      <c r="C133" s="20">
        <f t="shared" si="4"/>
        <v>2666.6666666666665</v>
      </c>
      <c r="D133" s="20">
        <f>IF(B133&gt;$C$11,"", F132*$C$8)</f>
        <v>1279.9999999999907</v>
      </c>
      <c r="E133" s="20">
        <f t="shared" si="5"/>
        <v>3946.666666666657</v>
      </c>
      <c r="F133" s="20">
        <f t="shared" si="6"/>
        <v>167999.99999999878</v>
      </c>
      <c r="H133" s="20">
        <f>IF(B133&gt;$C$11,"", $C$10*($C$8*(1+$C$8)^$C$11)/((1+$C$8)^$C$11-1))</f>
        <v>4868.4796039765415</v>
      </c>
      <c r="I133" s="20">
        <f>IF(B133&gt;$C$11,"", H133-(J132*$C$8))</f>
        <v>3017.9347576410528</v>
      </c>
      <c r="J133" s="20">
        <f t="shared" si="7"/>
        <v>243721.37808709082</v>
      </c>
    </row>
    <row r="134" spans="2:10" x14ac:dyDescent="0.3">
      <c r="B134" s="6">
        <v>118</v>
      </c>
      <c r="C134" s="20">
        <f t="shared" si="4"/>
        <v>2666.6666666666665</v>
      </c>
      <c r="D134" s="20">
        <f>IF(B134&gt;$C$11,"", F133*$C$8)</f>
        <v>1259.9999999999907</v>
      </c>
      <c r="E134" s="20">
        <f t="shared" si="5"/>
        <v>3926.666666666657</v>
      </c>
      <c r="F134" s="20">
        <f t="shared" si="6"/>
        <v>165333.33333333212</v>
      </c>
      <c r="H134" s="20">
        <f>IF(B134&gt;$C$11,"", $C$10*($C$8*(1+$C$8)^$C$11)/((1+$C$8)^$C$11-1))</f>
        <v>4868.4796039765415</v>
      </c>
      <c r="I134" s="20">
        <f>IF(B134&gt;$C$11,"", H134-(J133*$C$8))</f>
        <v>3040.5692683233601</v>
      </c>
      <c r="J134" s="20">
        <f t="shared" si="7"/>
        <v>240680.80881876746</v>
      </c>
    </row>
    <row r="135" spans="2:10" x14ac:dyDescent="0.3">
      <c r="B135" s="6">
        <v>119</v>
      </c>
      <c r="C135" s="20">
        <f t="shared" si="4"/>
        <v>2666.6666666666665</v>
      </c>
      <c r="D135" s="20">
        <f>IF(B135&gt;$C$11,"", F134*$C$8)</f>
        <v>1239.9999999999909</v>
      </c>
      <c r="E135" s="20">
        <f t="shared" si="5"/>
        <v>3906.6666666666574</v>
      </c>
      <c r="F135" s="20">
        <f t="shared" si="6"/>
        <v>162666.66666666546</v>
      </c>
      <c r="H135" s="20">
        <f>IF(B135&gt;$C$11,"", $C$10*($C$8*(1+$C$8)^$C$11)/((1+$C$8)^$C$11-1))</f>
        <v>4868.4796039765415</v>
      </c>
      <c r="I135" s="20">
        <f>IF(B135&gt;$C$11,"", H135-(J134*$C$8))</f>
        <v>3063.3735378357856</v>
      </c>
      <c r="J135" s="20">
        <f t="shared" si="7"/>
        <v>237617.43528093168</v>
      </c>
    </row>
    <row r="136" spans="2:10" x14ac:dyDescent="0.3">
      <c r="B136" s="6">
        <v>120</v>
      </c>
      <c r="C136" s="20">
        <f t="shared" si="4"/>
        <v>2666.6666666666665</v>
      </c>
      <c r="D136" s="20">
        <f>IF(B136&gt;$C$11,"", F135*$C$8)</f>
        <v>1219.9999999999909</v>
      </c>
      <c r="E136" s="20">
        <f t="shared" si="5"/>
        <v>3886.6666666666574</v>
      </c>
      <c r="F136" s="20">
        <f t="shared" si="6"/>
        <v>159999.99999999881</v>
      </c>
      <c r="H136" s="20">
        <f>IF(B136&gt;$C$11,"", $C$10*($C$8*(1+$C$8)^$C$11)/((1+$C$8)^$C$11-1))</f>
        <v>4868.4796039765415</v>
      </c>
      <c r="I136" s="20">
        <f>IF(B136&gt;$C$11,"", H136-(J135*$C$8))</f>
        <v>3086.3488393695543</v>
      </c>
      <c r="J136" s="20">
        <f t="shared" si="7"/>
        <v>234531.08644156213</v>
      </c>
    </row>
    <row r="137" spans="2:10" x14ac:dyDescent="0.3">
      <c r="B137" s="6">
        <v>121</v>
      </c>
      <c r="C137" s="20">
        <f t="shared" si="4"/>
        <v>2666.6666666666665</v>
      </c>
      <c r="D137" s="20">
        <f>IF(B137&gt;$C$11,"", F136*$C$8)</f>
        <v>1199.9999999999909</v>
      </c>
      <c r="E137" s="20">
        <f t="shared" si="5"/>
        <v>3866.6666666666574</v>
      </c>
      <c r="F137" s="20">
        <f t="shared" si="6"/>
        <v>157333.33333333215</v>
      </c>
      <c r="H137" s="20">
        <f>IF(B137&gt;$C$11,"", $C$10*($C$8*(1+$C$8)^$C$11)/((1+$C$8)^$C$11-1))</f>
        <v>4868.4796039765415</v>
      </c>
      <c r="I137" s="20">
        <f>IF(B137&gt;$C$11,"", H137-(J136*$C$8))</f>
        <v>3109.4964556648256</v>
      </c>
      <c r="J137" s="20">
        <f t="shared" si="7"/>
        <v>231421.5899858973</v>
      </c>
    </row>
    <row r="138" spans="2:10" x14ac:dyDescent="0.3">
      <c r="B138" s="6">
        <v>122</v>
      </c>
      <c r="C138" s="20">
        <f t="shared" si="4"/>
        <v>2666.6666666666665</v>
      </c>
      <c r="D138" s="20">
        <f>IF(B138&gt;$C$11,"", F137*$C$8)</f>
        <v>1179.9999999999911</v>
      </c>
      <c r="E138" s="20">
        <f t="shared" si="5"/>
        <v>3846.6666666666579</v>
      </c>
      <c r="F138" s="20">
        <f t="shared" si="6"/>
        <v>154666.66666666549</v>
      </c>
      <c r="H138" s="20">
        <f>IF(B138&gt;$C$11,"", $C$10*($C$8*(1+$C$8)^$C$11)/((1+$C$8)^$C$11-1))</f>
        <v>4868.4796039765415</v>
      </c>
      <c r="I138" s="20">
        <f>IF(B138&gt;$C$11,"", H138-(J137*$C$8))</f>
        <v>3132.8176790823118</v>
      </c>
      <c r="J138" s="20">
        <f t="shared" si="7"/>
        <v>228288.77230681499</v>
      </c>
    </row>
    <row r="139" spans="2:10" x14ac:dyDescent="0.3">
      <c r="B139" s="6">
        <v>123</v>
      </c>
      <c r="C139" s="20">
        <f t="shared" si="4"/>
        <v>2666.6666666666665</v>
      </c>
      <c r="D139" s="20">
        <f>IF(B139&gt;$C$11,"", F138*$C$8)</f>
        <v>1159.9999999999911</v>
      </c>
      <c r="E139" s="20">
        <f t="shared" si="5"/>
        <v>3826.6666666666579</v>
      </c>
      <c r="F139" s="20">
        <f t="shared" si="6"/>
        <v>151999.99999999884</v>
      </c>
      <c r="H139" s="20">
        <f>IF(B139&gt;$C$11,"", $C$10*($C$8*(1+$C$8)^$C$11)/((1+$C$8)^$C$11-1))</f>
        <v>4868.4796039765415</v>
      </c>
      <c r="I139" s="20">
        <f>IF(B139&gt;$C$11,"", H139-(J138*$C$8))</f>
        <v>3156.313811675429</v>
      </c>
      <c r="J139" s="20">
        <f t="shared" si="7"/>
        <v>225132.45849513955</v>
      </c>
    </row>
    <row r="140" spans="2:10" x14ac:dyDescent="0.3">
      <c r="B140" s="6">
        <v>124</v>
      </c>
      <c r="C140" s="20">
        <f t="shared" si="4"/>
        <v>2666.6666666666665</v>
      </c>
      <c r="D140" s="20">
        <f>IF(B140&gt;$C$11,"", F139*$C$8)</f>
        <v>1139.9999999999911</v>
      </c>
      <c r="E140" s="20">
        <f t="shared" si="5"/>
        <v>3806.6666666666579</v>
      </c>
      <c r="F140" s="20">
        <f t="shared" si="6"/>
        <v>149333.33333333218</v>
      </c>
      <c r="H140" s="20">
        <f>IF(B140&gt;$C$11,"", $C$10*($C$8*(1+$C$8)^$C$11)/((1+$C$8)^$C$11-1))</f>
        <v>4868.4796039765415</v>
      </c>
      <c r="I140" s="20">
        <f>IF(B140&gt;$C$11,"", H140-(J139*$C$8))</f>
        <v>3179.9861652629952</v>
      </c>
      <c r="J140" s="20">
        <f t="shared" si="7"/>
        <v>221952.47232987656</v>
      </c>
    </row>
    <row r="141" spans="2:10" x14ac:dyDescent="0.3">
      <c r="B141" s="6">
        <v>125</v>
      </c>
      <c r="C141" s="20">
        <f t="shared" si="4"/>
        <v>2666.6666666666665</v>
      </c>
      <c r="D141" s="20">
        <f>IF(B141&gt;$C$11,"", F140*$C$8)</f>
        <v>1119.9999999999914</v>
      </c>
      <c r="E141" s="20">
        <f t="shared" si="5"/>
        <v>3786.6666666666579</v>
      </c>
      <c r="F141" s="20">
        <f t="shared" si="6"/>
        <v>146666.66666666552</v>
      </c>
      <c r="H141" s="20">
        <f>IF(B141&gt;$C$11,"", $C$10*($C$8*(1+$C$8)^$C$11)/((1+$C$8)^$C$11-1))</f>
        <v>4868.4796039765415</v>
      </c>
      <c r="I141" s="20">
        <f>IF(B141&gt;$C$11,"", H141-(J140*$C$8))</f>
        <v>3203.8360615024676</v>
      </c>
      <c r="J141" s="20">
        <f t="shared" si="7"/>
        <v>218748.6362683741</v>
      </c>
    </row>
    <row r="142" spans="2:10" x14ac:dyDescent="0.3">
      <c r="B142" s="6">
        <v>126</v>
      </c>
      <c r="C142" s="20">
        <f t="shared" si="4"/>
        <v>2666.6666666666665</v>
      </c>
      <c r="D142" s="20">
        <f>IF(B142&gt;$C$11,"", F141*$C$8)</f>
        <v>1099.9999999999914</v>
      </c>
      <c r="E142" s="20">
        <f t="shared" si="5"/>
        <v>3766.6666666666579</v>
      </c>
      <c r="F142" s="20">
        <f t="shared" si="6"/>
        <v>143999.99999999886</v>
      </c>
      <c r="H142" s="20">
        <f>IF(B142&gt;$C$11,"", $C$10*($C$8*(1+$C$8)^$C$11)/((1+$C$8)^$C$11-1))</f>
        <v>4868.4796039765415</v>
      </c>
      <c r="I142" s="20">
        <f>IF(B142&gt;$C$11,"", H142-(J141*$C$8))</f>
        <v>3227.8648319637359</v>
      </c>
      <c r="J142" s="20">
        <f t="shared" si="7"/>
        <v>215520.77143641037</v>
      </c>
    </row>
    <row r="143" spans="2:10" x14ac:dyDescent="0.3">
      <c r="B143" s="6">
        <v>127</v>
      </c>
      <c r="C143" s="20">
        <f t="shared" si="4"/>
        <v>2666.6666666666665</v>
      </c>
      <c r="D143" s="20">
        <f>IF(B143&gt;$C$11,"", F142*$C$8)</f>
        <v>1079.9999999999914</v>
      </c>
      <c r="E143" s="20">
        <f t="shared" si="5"/>
        <v>3746.6666666666579</v>
      </c>
      <c r="F143" s="20">
        <f t="shared" si="6"/>
        <v>141333.33333333221</v>
      </c>
      <c r="H143" s="20">
        <f>IF(B143&gt;$C$11,"", $C$10*($C$8*(1+$C$8)^$C$11)/((1+$C$8)^$C$11-1))</f>
        <v>4868.4796039765415</v>
      </c>
      <c r="I143" s="20">
        <f>IF(B143&gt;$C$11,"", H143-(J142*$C$8))</f>
        <v>3252.0738182034638</v>
      </c>
      <c r="J143" s="20">
        <f t="shared" si="7"/>
        <v>212268.6976182069</v>
      </c>
    </row>
    <row r="144" spans="2:10" x14ac:dyDescent="0.3">
      <c r="B144" s="6">
        <v>128</v>
      </c>
      <c r="C144" s="20">
        <f t="shared" si="4"/>
        <v>2666.6666666666665</v>
      </c>
      <c r="D144" s="20">
        <f>IF(B144&gt;$C$11,"", F143*$C$8)</f>
        <v>1059.9999999999916</v>
      </c>
      <c r="E144" s="20">
        <f t="shared" si="5"/>
        <v>3726.6666666666579</v>
      </c>
      <c r="F144" s="20">
        <f t="shared" si="6"/>
        <v>138666.66666666555</v>
      </c>
      <c r="H144" s="20">
        <f>IF(B144&gt;$C$11,"", $C$10*($C$8*(1+$C$8)^$C$11)/((1+$C$8)^$C$11-1))</f>
        <v>4868.4796039765415</v>
      </c>
      <c r="I144" s="20">
        <f>IF(B144&gt;$C$11,"", H144-(J143*$C$8))</f>
        <v>3276.4643718399898</v>
      </c>
      <c r="J144" s="20">
        <f t="shared" si="7"/>
        <v>208992.2332463669</v>
      </c>
    </row>
    <row r="145" spans="2:10" x14ac:dyDescent="0.3">
      <c r="B145" s="6">
        <v>129</v>
      </c>
      <c r="C145" s="20">
        <f>IF(B145&gt;$C$11,"", $C$10/$C$11)</f>
        <v>2666.6666666666665</v>
      </c>
      <c r="D145" s="20">
        <f>IF(B145&gt;$C$11,"", F144*$C$8)</f>
        <v>1039.9999999999916</v>
      </c>
      <c r="E145" s="20">
        <f t="shared" ref="E145:E208" si="8">IF(B145&gt;$C$11,"", C145+D145)</f>
        <v>3706.6666666666579</v>
      </c>
      <c r="F145" s="20">
        <f t="shared" si="6"/>
        <v>135999.99999999889</v>
      </c>
      <c r="H145" s="20">
        <f>IF(B145&gt;$C$11,"", $C$10*($C$8*(1+$C$8)^$C$11)/((1+$C$8)^$C$11-1))</f>
        <v>4868.4796039765415</v>
      </c>
      <c r="I145" s="20">
        <f>IF(B145&gt;$C$11,"", H145-(J144*$C$8))</f>
        <v>3301.0378546287898</v>
      </c>
      <c r="J145" s="20">
        <f t="shared" si="7"/>
        <v>205691.19539173812</v>
      </c>
    </row>
    <row r="146" spans="2:10" x14ac:dyDescent="0.3">
      <c r="B146" s="6">
        <v>130</v>
      </c>
      <c r="C146" s="20">
        <f>IF(B146&gt;$C$11,"", $C$10/$C$11)</f>
        <v>2666.6666666666665</v>
      </c>
      <c r="D146" s="20">
        <f>IF(B146&gt;$C$11,"", F145*$C$8)</f>
        <v>1019.9999999999917</v>
      </c>
      <c r="E146" s="20">
        <f t="shared" si="8"/>
        <v>3686.6666666666583</v>
      </c>
      <c r="F146" s="20">
        <f t="shared" ref="F146:F209" si="9">IF(B146&gt;$C$11,"", F145-C146)</f>
        <v>133333.33333333224</v>
      </c>
      <c r="H146" s="20">
        <f>IF(B146&gt;$C$11,"", $C$10*($C$8*(1+$C$8)^$C$11)/((1+$C$8)^$C$11-1))</f>
        <v>4868.4796039765415</v>
      </c>
      <c r="I146" s="20">
        <f>IF(B146&gt;$C$11,"", H146-(J145*$C$8))</f>
        <v>3325.795638538506</v>
      </c>
      <c r="J146" s="20">
        <f t="shared" ref="J146:J209" si="10">IF(B146&gt;$C$11,"", J145-I146)</f>
        <v>202365.3997531996</v>
      </c>
    </row>
    <row r="147" spans="2:10" x14ac:dyDescent="0.3">
      <c r="B147" s="6">
        <v>131</v>
      </c>
      <c r="C147" s="20">
        <f>IF(B147&gt;$C$11,"", $C$10/$C$11)</f>
        <v>2666.6666666666665</v>
      </c>
      <c r="D147" s="20">
        <f>IF(B147&gt;$C$11,"", F146*$C$8)</f>
        <v>999.9999999999917</v>
      </c>
      <c r="E147" s="20">
        <f t="shared" si="8"/>
        <v>3666.6666666666583</v>
      </c>
      <c r="F147" s="20">
        <f t="shared" si="9"/>
        <v>130666.66666666557</v>
      </c>
      <c r="H147" s="20">
        <f>IF(B147&gt;$C$11,"", $C$10*($C$8*(1+$C$8)^$C$11)/((1+$C$8)^$C$11-1))</f>
        <v>4868.4796039765415</v>
      </c>
      <c r="I147" s="20">
        <f>IF(B147&gt;$C$11,"", H147-(J146*$C$8))</f>
        <v>3350.7391058275443</v>
      </c>
      <c r="J147" s="20">
        <f t="shared" si="10"/>
        <v>199014.66064737205</v>
      </c>
    </row>
    <row r="148" spans="2:10" x14ac:dyDescent="0.3">
      <c r="B148" s="6">
        <v>132</v>
      </c>
      <c r="C148" s="20">
        <f>IF(B148&gt;$C$11,"", $C$10/$C$11)</f>
        <v>2666.6666666666665</v>
      </c>
      <c r="D148" s="20">
        <f>IF(B148&gt;$C$11,"", F147*$C$8)</f>
        <v>979.9999999999917</v>
      </c>
      <c r="E148" s="20">
        <f t="shared" si="8"/>
        <v>3646.6666666666583</v>
      </c>
      <c r="F148" s="20">
        <f t="shared" si="9"/>
        <v>127999.99999999889</v>
      </c>
      <c r="H148" s="20">
        <f>IF(B148&gt;$C$11,"", $C$10*($C$8*(1+$C$8)^$C$11)/((1+$C$8)^$C$11-1))</f>
        <v>4868.4796039765415</v>
      </c>
      <c r="I148" s="20">
        <f>IF(B148&gt;$C$11,"", H148-(J147*$C$8))</f>
        <v>3375.8696491212513</v>
      </c>
      <c r="J148" s="20">
        <f t="shared" si="10"/>
        <v>195638.7909982508</v>
      </c>
    </row>
    <row r="149" spans="2:10" x14ac:dyDescent="0.3">
      <c r="B149" s="6">
        <v>133</v>
      </c>
      <c r="C149" s="20">
        <f>IF(B149&gt;$C$11,"", $C$10/$C$11)</f>
        <v>2666.6666666666665</v>
      </c>
      <c r="D149" s="20">
        <f>IF(B149&gt;$C$11,"", F148*$C$8)</f>
        <v>959.9999999999917</v>
      </c>
      <c r="E149" s="20">
        <f t="shared" si="8"/>
        <v>3626.6666666666583</v>
      </c>
      <c r="F149" s="20">
        <f t="shared" si="9"/>
        <v>125333.33333333222</v>
      </c>
      <c r="H149" s="20">
        <f>IF(B149&gt;$C$11,"", $C$10*($C$8*(1+$C$8)^$C$11)/((1+$C$8)^$C$11-1))</f>
        <v>4868.4796039765415</v>
      </c>
      <c r="I149" s="20">
        <f>IF(B149&gt;$C$11,"", H149-(J148*$C$8))</f>
        <v>3401.1886714896605</v>
      </c>
      <c r="J149" s="20">
        <f t="shared" si="10"/>
        <v>192237.60232676115</v>
      </c>
    </row>
    <row r="150" spans="2:10" x14ac:dyDescent="0.3">
      <c r="B150" s="6">
        <v>134</v>
      </c>
      <c r="C150" s="20">
        <f>IF(B150&gt;$C$11,"", $C$10/$C$11)</f>
        <v>2666.6666666666665</v>
      </c>
      <c r="D150" s="20">
        <f>IF(B150&gt;$C$11,"", F149*$C$8)</f>
        <v>939.99999999999159</v>
      </c>
      <c r="E150" s="20">
        <f t="shared" si="8"/>
        <v>3606.6666666666579</v>
      </c>
      <c r="F150" s="20">
        <f t="shared" si="9"/>
        <v>122666.66666666555</v>
      </c>
      <c r="H150" s="20">
        <f>IF(B150&gt;$C$11,"", $C$10*($C$8*(1+$C$8)^$C$11)/((1+$C$8)^$C$11-1))</f>
        <v>4868.4796039765415</v>
      </c>
      <c r="I150" s="20">
        <f>IF(B150&gt;$C$11,"", H150-(J149*$C$8))</f>
        <v>3426.6975865258328</v>
      </c>
      <c r="J150" s="20">
        <f t="shared" si="10"/>
        <v>188810.9047402353</v>
      </c>
    </row>
    <row r="151" spans="2:10" x14ac:dyDescent="0.3">
      <c r="B151" s="6">
        <v>135</v>
      </c>
      <c r="C151" s="20">
        <f>IF(B151&gt;$C$11,"", $C$10/$C$11)</f>
        <v>2666.6666666666665</v>
      </c>
      <c r="D151" s="20">
        <f>IF(B151&gt;$C$11,"", F150*$C$8)</f>
        <v>919.99999999999159</v>
      </c>
      <c r="E151" s="20">
        <f t="shared" si="8"/>
        <v>3586.6666666666579</v>
      </c>
      <c r="F151" s="20">
        <f t="shared" si="9"/>
        <v>119999.99999999888</v>
      </c>
      <c r="H151" s="20">
        <f>IF(B151&gt;$C$11,"", $C$10*($C$8*(1+$C$8)^$C$11)/((1+$C$8)^$C$11-1))</f>
        <v>4868.4796039765415</v>
      </c>
      <c r="I151" s="20">
        <f>IF(B151&gt;$C$11,"", H151-(J150*$C$8))</f>
        <v>3452.3978184247767</v>
      </c>
      <c r="J151" s="20">
        <f t="shared" si="10"/>
        <v>185358.50692181053</v>
      </c>
    </row>
    <row r="152" spans="2:10" x14ac:dyDescent="0.3">
      <c r="B152" s="6">
        <v>136</v>
      </c>
      <c r="C152" s="20">
        <f>IF(B152&gt;$C$11,"", $C$10/$C$11)</f>
        <v>2666.6666666666665</v>
      </c>
      <c r="D152" s="20">
        <f>IF(B152&gt;$C$11,"", F151*$C$8)</f>
        <v>899.99999999999159</v>
      </c>
      <c r="E152" s="20">
        <f t="shared" si="8"/>
        <v>3566.6666666666579</v>
      </c>
      <c r="F152" s="20">
        <f t="shared" si="9"/>
        <v>117333.33333333221</v>
      </c>
      <c r="H152" s="20">
        <f>IF(B152&gt;$C$11,"", $C$10*($C$8*(1+$C$8)^$C$11)/((1+$C$8)^$C$11-1))</f>
        <v>4868.4796039765415</v>
      </c>
      <c r="I152" s="20">
        <f>IF(B152&gt;$C$11,"", H152-(J151*$C$8))</f>
        <v>3478.2908020629625</v>
      </c>
      <c r="J152" s="20">
        <f t="shared" si="10"/>
        <v>181880.21611974758</v>
      </c>
    </row>
    <row r="153" spans="2:10" x14ac:dyDescent="0.3">
      <c r="B153" s="6">
        <v>137</v>
      </c>
      <c r="C153" s="20">
        <f>IF(B153&gt;$C$11,"", $C$10/$C$11)</f>
        <v>2666.6666666666665</v>
      </c>
      <c r="D153" s="20">
        <f>IF(B153&gt;$C$11,"", F152*$C$8)</f>
        <v>879.99999999999147</v>
      </c>
      <c r="E153" s="20">
        <f t="shared" si="8"/>
        <v>3546.6666666666579</v>
      </c>
      <c r="F153" s="20">
        <f t="shared" si="9"/>
        <v>114666.66666666554</v>
      </c>
      <c r="H153" s="20">
        <f>IF(B153&gt;$C$11,"", $C$10*($C$8*(1+$C$8)^$C$11)/((1+$C$8)^$C$11-1))</f>
        <v>4868.4796039765415</v>
      </c>
      <c r="I153" s="20">
        <f>IF(B153&gt;$C$11,"", H153-(J152*$C$8))</f>
        <v>3504.3779830784347</v>
      </c>
      <c r="J153" s="20">
        <f t="shared" si="10"/>
        <v>178375.83813666913</v>
      </c>
    </row>
    <row r="154" spans="2:10" x14ac:dyDescent="0.3">
      <c r="B154" s="6">
        <v>138</v>
      </c>
      <c r="C154" s="20">
        <f>IF(B154&gt;$C$11,"", $C$10/$C$11)</f>
        <v>2666.6666666666665</v>
      </c>
      <c r="D154" s="20">
        <f>IF(B154&gt;$C$11,"", F153*$C$8)</f>
        <v>859.99999999999147</v>
      </c>
      <c r="E154" s="20">
        <f t="shared" si="8"/>
        <v>3526.6666666666579</v>
      </c>
      <c r="F154" s="20">
        <f t="shared" si="9"/>
        <v>111999.99999999886</v>
      </c>
      <c r="H154" s="20">
        <f>IF(B154&gt;$C$11,"", $C$10*($C$8*(1+$C$8)^$C$11)/((1+$C$8)^$C$11-1))</f>
        <v>4868.4796039765415</v>
      </c>
      <c r="I154" s="20">
        <f>IF(B154&gt;$C$11,"", H154-(J153*$C$8))</f>
        <v>3530.6608179515233</v>
      </c>
      <c r="J154" s="20">
        <f t="shared" si="10"/>
        <v>174845.17731871761</v>
      </c>
    </row>
    <row r="155" spans="2:10" x14ac:dyDescent="0.3">
      <c r="B155" s="6">
        <v>139</v>
      </c>
      <c r="C155" s="20">
        <f>IF(B155&gt;$C$11,"", $C$10/$C$11)</f>
        <v>2666.6666666666665</v>
      </c>
      <c r="D155" s="20">
        <f>IF(B155&gt;$C$11,"", F154*$C$8)</f>
        <v>839.99999999999147</v>
      </c>
      <c r="E155" s="20">
        <f t="shared" si="8"/>
        <v>3506.6666666666579</v>
      </c>
      <c r="F155" s="20">
        <f t="shared" si="9"/>
        <v>109333.33333333219</v>
      </c>
      <c r="H155" s="20">
        <f>IF(B155&gt;$C$11,"", $C$10*($C$8*(1+$C$8)^$C$11)/((1+$C$8)^$C$11-1))</f>
        <v>4868.4796039765415</v>
      </c>
      <c r="I155" s="20">
        <f>IF(B155&gt;$C$11,"", H155-(J154*$C$8))</f>
        <v>3557.1407740861596</v>
      </c>
      <c r="J155" s="20">
        <f t="shared" si="10"/>
        <v>171288.03654463147</v>
      </c>
    </row>
    <row r="156" spans="2:10" x14ac:dyDescent="0.3">
      <c r="B156" s="6">
        <v>140</v>
      </c>
      <c r="C156" s="20">
        <f>IF(B156&gt;$C$11,"", $C$10/$C$11)</f>
        <v>2666.6666666666665</v>
      </c>
      <c r="D156" s="20">
        <f>IF(B156&gt;$C$11,"", F155*$C$8)</f>
        <v>819.99999999999147</v>
      </c>
      <c r="E156" s="20">
        <f t="shared" si="8"/>
        <v>3486.6666666666579</v>
      </c>
      <c r="F156" s="20">
        <f t="shared" si="9"/>
        <v>106666.66666666552</v>
      </c>
      <c r="H156" s="20">
        <f>IF(B156&gt;$C$11,"", $C$10*($C$8*(1+$C$8)^$C$11)/((1+$C$8)^$C$11-1))</f>
        <v>4868.4796039765415</v>
      </c>
      <c r="I156" s="20">
        <f>IF(B156&gt;$C$11,"", H156-(J155*$C$8))</f>
        <v>3583.8193298918059</v>
      </c>
      <c r="J156" s="20">
        <f t="shared" si="10"/>
        <v>167704.21721473965</v>
      </c>
    </row>
    <row r="157" spans="2:10" x14ac:dyDescent="0.3">
      <c r="B157" s="6">
        <v>141</v>
      </c>
      <c r="C157" s="20">
        <f>IF(B157&gt;$C$11,"", $C$10/$C$11)</f>
        <v>2666.6666666666665</v>
      </c>
      <c r="D157" s="20">
        <f>IF(B157&gt;$C$11,"", F156*$C$8)</f>
        <v>799.99999999999136</v>
      </c>
      <c r="E157" s="20">
        <f t="shared" si="8"/>
        <v>3466.6666666666579</v>
      </c>
      <c r="F157" s="20">
        <f t="shared" si="9"/>
        <v>103999.99999999885</v>
      </c>
      <c r="H157" s="20">
        <f>IF(B157&gt;$C$11,"", $C$10*($C$8*(1+$C$8)^$C$11)/((1+$C$8)^$C$11-1))</f>
        <v>4868.4796039765415</v>
      </c>
      <c r="I157" s="20">
        <f>IF(B157&gt;$C$11,"", H157-(J156*$C$8))</f>
        <v>3610.6979748659942</v>
      </c>
      <c r="J157" s="20">
        <f t="shared" si="10"/>
        <v>164093.51923987365</v>
      </c>
    </row>
    <row r="158" spans="2:10" x14ac:dyDescent="0.3">
      <c r="B158" s="6">
        <v>142</v>
      </c>
      <c r="C158" s="20">
        <f>IF(B158&gt;$C$11,"", $C$10/$C$11)</f>
        <v>2666.6666666666665</v>
      </c>
      <c r="D158" s="20">
        <f>IF(B158&gt;$C$11,"", F157*$C$8)</f>
        <v>779.99999999999136</v>
      </c>
      <c r="E158" s="20">
        <f t="shared" si="8"/>
        <v>3446.6666666666579</v>
      </c>
      <c r="F158" s="20">
        <f t="shared" si="9"/>
        <v>101333.33333333218</v>
      </c>
      <c r="H158" s="20">
        <f>IF(B158&gt;$C$11,"", $C$10*($C$8*(1+$C$8)^$C$11)/((1+$C$8)^$C$11-1))</f>
        <v>4868.4796039765415</v>
      </c>
      <c r="I158" s="20">
        <f>IF(B158&gt;$C$11,"", H158-(J157*$C$8))</f>
        <v>3637.778209677489</v>
      </c>
      <c r="J158" s="20">
        <f t="shared" si="10"/>
        <v>160455.74103019616</v>
      </c>
    </row>
    <row r="159" spans="2:10" x14ac:dyDescent="0.3">
      <c r="B159" s="6">
        <v>143</v>
      </c>
      <c r="C159" s="20">
        <f>IF(B159&gt;$C$11,"", $C$10/$C$11)</f>
        <v>2666.6666666666665</v>
      </c>
      <c r="D159" s="20">
        <f>IF(B159&gt;$C$11,"", F158*$C$8)</f>
        <v>759.99999999999136</v>
      </c>
      <c r="E159" s="20">
        <f t="shared" si="8"/>
        <v>3426.6666666666579</v>
      </c>
      <c r="F159" s="20">
        <f t="shared" si="9"/>
        <v>98666.666666665507</v>
      </c>
      <c r="H159" s="20">
        <f>IF(B159&gt;$C$11,"", $C$10*($C$8*(1+$C$8)^$C$11)/((1+$C$8)^$C$11-1))</f>
        <v>4868.4796039765415</v>
      </c>
      <c r="I159" s="20">
        <f>IF(B159&gt;$C$11,"", H159-(J158*$C$8))</f>
        <v>3665.06154625007</v>
      </c>
      <c r="J159" s="20">
        <f t="shared" si="10"/>
        <v>156790.67948394609</v>
      </c>
    </row>
    <row r="160" spans="2:10" x14ac:dyDescent="0.3">
      <c r="B160" s="6">
        <v>144</v>
      </c>
      <c r="C160" s="20">
        <f>IF(B160&gt;$C$11,"", $C$10/$C$11)</f>
        <v>2666.6666666666665</v>
      </c>
      <c r="D160" s="20">
        <f>IF(B160&gt;$C$11,"", F159*$C$8)</f>
        <v>739.99999999999125</v>
      </c>
      <c r="E160" s="20">
        <f t="shared" si="8"/>
        <v>3406.6666666666579</v>
      </c>
      <c r="F160" s="20">
        <f t="shared" si="9"/>
        <v>95999.999999998836</v>
      </c>
      <c r="H160" s="20">
        <f>IF(B160&gt;$C$11,"", $C$10*($C$8*(1+$C$8)^$C$11)/((1+$C$8)^$C$11-1))</f>
        <v>4868.4796039765415</v>
      </c>
      <c r="I160" s="20">
        <f>IF(B160&gt;$C$11,"", H160-(J159*$C$8))</f>
        <v>3692.5495078469457</v>
      </c>
      <c r="J160" s="20">
        <f t="shared" si="10"/>
        <v>153098.12997609915</v>
      </c>
    </row>
    <row r="161" spans="2:10" x14ac:dyDescent="0.3">
      <c r="B161" s="6">
        <v>145</v>
      </c>
      <c r="C161" s="20">
        <f>IF(B161&gt;$C$11,"", $C$10/$C$11)</f>
        <v>2666.6666666666665</v>
      </c>
      <c r="D161" s="20">
        <f>IF(B161&gt;$C$11,"", F160*$C$8)</f>
        <v>719.99999999999125</v>
      </c>
      <c r="E161" s="20">
        <f t="shared" si="8"/>
        <v>3386.6666666666579</v>
      </c>
      <c r="F161" s="20">
        <f t="shared" si="9"/>
        <v>93333.333333332164</v>
      </c>
      <c r="H161" s="20">
        <f>IF(B161&gt;$C$11,"", $C$10*($C$8*(1+$C$8)^$C$11)/((1+$C$8)^$C$11-1))</f>
        <v>4868.4796039765415</v>
      </c>
      <c r="I161" s="20">
        <f>IF(B161&gt;$C$11,"", H161-(J160*$C$8))</f>
        <v>3720.2436291557979</v>
      </c>
      <c r="J161" s="20">
        <f t="shared" si="10"/>
        <v>149377.88634694336</v>
      </c>
    </row>
    <row r="162" spans="2:10" x14ac:dyDescent="0.3">
      <c r="B162" s="6">
        <v>146</v>
      </c>
      <c r="C162" s="20">
        <f>IF(B162&gt;$C$11,"", $C$10/$C$11)</f>
        <v>2666.6666666666665</v>
      </c>
      <c r="D162" s="20">
        <f>IF(B162&gt;$C$11,"", F161*$C$8)</f>
        <v>699.99999999999125</v>
      </c>
      <c r="E162" s="20">
        <f t="shared" si="8"/>
        <v>3366.6666666666579</v>
      </c>
      <c r="F162" s="20">
        <f t="shared" si="9"/>
        <v>90666.666666665493</v>
      </c>
      <c r="H162" s="20">
        <f>IF(B162&gt;$C$11,"", $C$10*($C$8*(1+$C$8)^$C$11)/((1+$C$8)^$C$11-1))</f>
        <v>4868.4796039765415</v>
      </c>
      <c r="I162" s="20">
        <f>IF(B162&gt;$C$11,"", H162-(J161*$C$8))</f>
        <v>3748.1454563744664</v>
      </c>
      <c r="J162" s="20">
        <f t="shared" si="10"/>
        <v>145629.74089056888</v>
      </c>
    </row>
    <row r="163" spans="2:10" x14ac:dyDescent="0.3">
      <c r="B163" s="6">
        <v>147</v>
      </c>
      <c r="C163" s="20">
        <f>IF(B163&gt;$C$11,"", $C$10/$C$11)</f>
        <v>2666.6666666666665</v>
      </c>
      <c r="D163" s="20">
        <f>IF(B163&gt;$C$11,"", F162*$C$8)</f>
        <v>679.99999999999113</v>
      </c>
      <c r="E163" s="20">
        <f t="shared" si="8"/>
        <v>3346.6666666666579</v>
      </c>
      <c r="F163" s="20">
        <f t="shared" si="9"/>
        <v>87999.999999998821</v>
      </c>
      <c r="H163" s="20">
        <f>IF(B163&gt;$C$11,"", $C$10*($C$8*(1+$C$8)^$C$11)/((1+$C$8)^$C$11-1))</f>
        <v>4868.4796039765415</v>
      </c>
      <c r="I163" s="20">
        <f>IF(B163&gt;$C$11,"", H163-(J162*$C$8))</f>
        <v>3776.2565472972747</v>
      </c>
      <c r="J163" s="20">
        <f t="shared" si="10"/>
        <v>141853.48434327162</v>
      </c>
    </row>
    <row r="164" spans="2:10" x14ac:dyDescent="0.3">
      <c r="B164" s="6">
        <v>148</v>
      </c>
      <c r="C164" s="20">
        <f>IF(B164&gt;$C$11,"", $C$10/$C$11)</f>
        <v>2666.6666666666665</v>
      </c>
      <c r="D164" s="20">
        <f>IF(B164&gt;$C$11,"", F163*$C$8)</f>
        <v>659.99999999999113</v>
      </c>
      <c r="E164" s="20">
        <f t="shared" si="8"/>
        <v>3326.6666666666579</v>
      </c>
      <c r="F164" s="20">
        <f t="shared" si="9"/>
        <v>85333.33333333215</v>
      </c>
      <c r="H164" s="20">
        <f>IF(B164&gt;$C$11,"", $C$10*($C$8*(1+$C$8)^$C$11)/((1+$C$8)^$C$11-1))</f>
        <v>4868.4796039765415</v>
      </c>
      <c r="I164" s="20">
        <f>IF(B164&gt;$C$11,"", H164-(J163*$C$8))</f>
        <v>3804.5784714020047</v>
      </c>
      <c r="J164" s="20">
        <f t="shared" si="10"/>
        <v>138048.90587186962</v>
      </c>
    </row>
    <row r="165" spans="2:10" x14ac:dyDescent="0.3">
      <c r="B165" s="6">
        <v>149</v>
      </c>
      <c r="C165" s="20">
        <f>IF(B165&gt;$C$11,"", $C$10/$C$11)</f>
        <v>2666.6666666666665</v>
      </c>
      <c r="D165" s="20">
        <f>IF(B165&gt;$C$11,"", F164*$C$8)</f>
        <v>639.99999999999113</v>
      </c>
      <c r="E165" s="20">
        <f t="shared" si="8"/>
        <v>3306.6666666666579</v>
      </c>
      <c r="F165" s="20">
        <f t="shared" si="9"/>
        <v>82666.666666665478</v>
      </c>
      <c r="H165" s="20">
        <f>IF(B165&gt;$C$11,"", $C$10*($C$8*(1+$C$8)^$C$11)/((1+$C$8)^$C$11-1))</f>
        <v>4868.4796039765415</v>
      </c>
      <c r="I165" s="20">
        <f>IF(B165&gt;$C$11,"", H165-(J164*$C$8))</f>
        <v>3833.1128099375192</v>
      </c>
      <c r="J165" s="20">
        <f t="shared" si="10"/>
        <v>134215.79306193211</v>
      </c>
    </row>
    <row r="166" spans="2:10" x14ac:dyDescent="0.3">
      <c r="B166" s="6">
        <v>150</v>
      </c>
      <c r="C166" s="20">
        <f>IF(B166&gt;$C$11,"", $C$10/$C$11)</f>
        <v>2666.6666666666665</v>
      </c>
      <c r="D166" s="20">
        <f>IF(B166&gt;$C$11,"", F165*$C$8)</f>
        <v>619.99999999999102</v>
      </c>
      <c r="E166" s="20">
        <f t="shared" si="8"/>
        <v>3286.6666666666574</v>
      </c>
      <c r="F166" s="20">
        <f t="shared" si="9"/>
        <v>79999.999999998807</v>
      </c>
      <c r="H166" s="20">
        <f>IF(B166&gt;$C$11,"", $C$10*($C$8*(1+$C$8)^$C$11)/((1+$C$8)^$C$11-1))</f>
        <v>4868.4796039765415</v>
      </c>
      <c r="I166" s="20">
        <f>IF(B166&gt;$C$11,"", H166-(J165*$C$8))</f>
        <v>3861.8611560120507</v>
      </c>
      <c r="J166" s="20">
        <f t="shared" si="10"/>
        <v>130353.93190592006</v>
      </c>
    </row>
    <row r="167" spans="2:10" x14ac:dyDescent="0.3">
      <c r="B167" s="6">
        <v>151</v>
      </c>
      <c r="C167" s="20">
        <f>IF(B167&gt;$C$11,"", $C$10/$C$11)</f>
        <v>2666.6666666666665</v>
      </c>
      <c r="D167" s="20">
        <f>IF(B167&gt;$C$11,"", F166*$C$8)</f>
        <v>599.99999999999102</v>
      </c>
      <c r="E167" s="20">
        <f t="shared" si="8"/>
        <v>3266.6666666666574</v>
      </c>
      <c r="F167" s="20">
        <f t="shared" si="9"/>
        <v>77333.333333332135</v>
      </c>
      <c r="H167" s="20">
        <f>IF(B167&gt;$C$11,"", $C$10*($C$8*(1+$C$8)^$C$11)/((1+$C$8)^$C$11-1))</f>
        <v>4868.4796039765415</v>
      </c>
      <c r="I167" s="20">
        <f>IF(B167&gt;$C$11,"", H167-(J166*$C$8))</f>
        <v>3890.8251146821412</v>
      </c>
      <c r="J167" s="20">
        <f t="shared" si="10"/>
        <v>126463.10679123792</v>
      </c>
    </row>
    <row r="168" spans="2:10" x14ac:dyDescent="0.3">
      <c r="B168" s="6">
        <v>152</v>
      </c>
      <c r="C168" s="20">
        <f>IF(B168&gt;$C$11,"", $C$10/$C$11)</f>
        <v>2666.6666666666665</v>
      </c>
      <c r="D168" s="20">
        <f>IF(B168&gt;$C$11,"", F167*$C$8)</f>
        <v>579.99999999999102</v>
      </c>
      <c r="E168" s="20">
        <f t="shared" si="8"/>
        <v>3246.6666666666574</v>
      </c>
      <c r="F168" s="20">
        <f t="shared" si="9"/>
        <v>74666.666666665464</v>
      </c>
      <c r="H168" s="20">
        <f>IF(B168&gt;$C$11,"", $C$10*($C$8*(1+$C$8)^$C$11)/((1+$C$8)^$C$11-1))</f>
        <v>4868.4796039765415</v>
      </c>
      <c r="I168" s="20">
        <f>IF(B168&gt;$C$11,"", H168-(J167*$C$8))</f>
        <v>3920.0063030422571</v>
      </c>
      <c r="J168" s="20">
        <f t="shared" si="10"/>
        <v>122543.10048819566</v>
      </c>
    </row>
    <row r="169" spans="2:10" x14ac:dyDescent="0.3">
      <c r="B169" s="6">
        <v>153</v>
      </c>
      <c r="C169" s="20">
        <f>IF(B169&gt;$C$11,"", $C$10/$C$11)</f>
        <v>2666.6666666666665</v>
      </c>
      <c r="D169" s="20">
        <f>IF(B169&gt;$C$11,"", F168*$C$8)</f>
        <v>559.99999999999091</v>
      </c>
      <c r="E169" s="20">
        <f t="shared" si="8"/>
        <v>3226.6666666666574</v>
      </c>
      <c r="F169" s="20">
        <f t="shared" si="9"/>
        <v>71999.999999998792</v>
      </c>
      <c r="H169" s="20">
        <f>IF(B169&gt;$C$11,"", $C$10*($C$8*(1+$C$8)^$C$11)/((1+$C$8)^$C$11-1))</f>
        <v>4868.4796039765415</v>
      </c>
      <c r="I169" s="20">
        <f>IF(B169&gt;$C$11,"", H169-(J168*$C$8))</f>
        <v>3949.4063503150742</v>
      </c>
      <c r="J169" s="20">
        <f t="shared" si="10"/>
        <v>118593.69413788059</v>
      </c>
    </row>
    <row r="170" spans="2:10" x14ac:dyDescent="0.3">
      <c r="B170" s="6">
        <v>154</v>
      </c>
      <c r="C170" s="20">
        <f>IF(B170&gt;$C$11,"", $C$10/$C$11)</f>
        <v>2666.6666666666665</v>
      </c>
      <c r="D170" s="20">
        <f>IF(B170&gt;$C$11,"", F169*$C$8)</f>
        <v>539.99999999999091</v>
      </c>
      <c r="E170" s="20">
        <f t="shared" si="8"/>
        <v>3206.6666666666574</v>
      </c>
      <c r="F170" s="20">
        <f t="shared" si="9"/>
        <v>69333.333333332121</v>
      </c>
      <c r="H170" s="20">
        <f>IF(B170&gt;$C$11,"", $C$10*($C$8*(1+$C$8)^$C$11)/((1+$C$8)^$C$11-1))</f>
        <v>4868.4796039765415</v>
      </c>
      <c r="I170" s="20">
        <f>IF(B170&gt;$C$11,"", H170-(J169*$C$8))</f>
        <v>3979.0268979424372</v>
      </c>
      <c r="J170" s="20">
        <f t="shared" si="10"/>
        <v>114614.66723993815</v>
      </c>
    </row>
    <row r="171" spans="2:10" x14ac:dyDescent="0.3">
      <c r="B171" s="6">
        <v>155</v>
      </c>
      <c r="C171" s="20">
        <f>IF(B171&gt;$C$11,"", $C$10/$C$11)</f>
        <v>2666.6666666666665</v>
      </c>
      <c r="D171" s="20">
        <f>IF(B171&gt;$C$11,"", F170*$C$8)</f>
        <v>519.99999999999091</v>
      </c>
      <c r="E171" s="20">
        <f t="shared" si="8"/>
        <v>3186.6666666666574</v>
      </c>
      <c r="F171" s="20">
        <f t="shared" si="9"/>
        <v>66666.666666665449</v>
      </c>
      <c r="H171" s="20">
        <f>IF(B171&gt;$C$11,"", $C$10*($C$8*(1+$C$8)^$C$11)/((1+$C$8)^$C$11-1))</f>
        <v>4868.4796039765415</v>
      </c>
      <c r="I171" s="20">
        <f>IF(B171&gt;$C$11,"", H171-(J170*$C$8))</f>
        <v>4008.8695996770057</v>
      </c>
      <c r="J171" s="20">
        <f t="shared" si="10"/>
        <v>110605.79764026114</v>
      </c>
    </row>
    <row r="172" spans="2:10" x14ac:dyDescent="0.3">
      <c r="B172" s="6">
        <v>156</v>
      </c>
      <c r="C172" s="20">
        <f>IF(B172&gt;$C$11,"", $C$10/$C$11)</f>
        <v>2666.6666666666665</v>
      </c>
      <c r="D172" s="20">
        <f>IF(B172&gt;$C$11,"", F171*$C$8)</f>
        <v>499.99999999999085</v>
      </c>
      <c r="E172" s="20">
        <f t="shared" si="8"/>
        <v>3166.6666666666574</v>
      </c>
      <c r="F172" s="20">
        <f t="shared" si="9"/>
        <v>63999.999999998785</v>
      </c>
      <c r="H172" s="20">
        <f>IF(B172&gt;$C$11,"", $C$10*($C$8*(1+$C$8)^$C$11)/((1+$C$8)^$C$11-1))</f>
        <v>4868.4796039765415</v>
      </c>
      <c r="I172" s="20">
        <f>IF(B172&gt;$C$11,"", H172-(J171*$C$8))</f>
        <v>4038.9361216745829</v>
      </c>
      <c r="J172" s="20">
        <f t="shared" si="10"/>
        <v>106566.86151858655</v>
      </c>
    </row>
    <row r="173" spans="2:10" x14ac:dyDescent="0.3">
      <c r="B173" s="6">
        <v>157</v>
      </c>
      <c r="C173" s="20">
        <f>IF(B173&gt;$C$11,"", $C$10/$C$11)</f>
        <v>2666.6666666666665</v>
      </c>
      <c r="D173" s="20">
        <f>IF(B173&gt;$C$11,"", F172*$C$8)</f>
        <v>479.99999999999085</v>
      </c>
      <c r="E173" s="20">
        <f t="shared" si="8"/>
        <v>3146.6666666666574</v>
      </c>
      <c r="F173" s="20">
        <f t="shared" si="9"/>
        <v>61333.333333332121</v>
      </c>
      <c r="H173" s="20">
        <f>IF(B173&gt;$C$11,"", $C$10*($C$8*(1+$C$8)^$C$11)/((1+$C$8)^$C$11-1))</f>
        <v>4868.4796039765415</v>
      </c>
      <c r="I173" s="20">
        <f>IF(B173&gt;$C$11,"", H173-(J172*$C$8))</f>
        <v>4069.2281425871424</v>
      </c>
      <c r="J173" s="20">
        <f t="shared" si="10"/>
        <v>102497.6333759994</v>
      </c>
    </row>
    <row r="174" spans="2:10" x14ac:dyDescent="0.3">
      <c r="B174" s="6">
        <v>158</v>
      </c>
      <c r="C174" s="20">
        <f>IF(B174&gt;$C$11,"", $C$10/$C$11)</f>
        <v>2666.6666666666665</v>
      </c>
      <c r="D174" s="20">
        <f>IF(B174&gt;$C$11,"", F173*$C$8)</f>
        <v>459.99999999999091</v>
      </c>
      <c r="E174" s="20">
        <f t="shared" si="8"/>
        <v>3126.6666666666574</v>
      </c>
      <c r="F174" s="20">
        <f t="shared" si="9"/>
        <v>58666.666666665456</v>
      </c>
      <c r="H174" s="20">
        <f>IF(B174&gt;$C$11,"", $C$10*($C$8*(1+$C$8)^$C$11)/((1+$C$8)^$C$11-1))</f>
        <v>4868.4796039765415</v>
      </c>
      <c r="I174" s="20">
        <f>IF(B174&gt;$C$11,"", H174-(J173*$C$8))</f>
        <v>4099.7473536565458</v>
      </c>
      <c r="J174" s="20">
        <f t="shared" si="10"/>
        <v>98397.886022342849</v>
      </c>
    </row>
    <row r="175" spans="2:10" x14ac:dyDescent="0.3">
      <c r="B175" s="6">
        <v>159</v>
      </c>
      <c r="C175" s="20">
        <f>IF(B175&gt;$C$11,"", $C$10/$C$11)</f>
        <v>2666.6666666666665</v>
      </c>
      <c r="D175" s="20">
        <f>IF(B175&gt;$C$11,"", F174*$C$8)</f>
        <v>439.99999999999091</v>
      </c>
      <c r="E175" s="20">
        <f t="shared" si="8"/>
        <v>3106.6666666666574</v>
      </c>
      <c r="F175" s="20">
        <f t="shared" si="9"/>
        <v>55999.999999998792</v>
      </c>
      <c r="H175" s="20">
        <f>IF(B175&gt;$C$11,"", $C$10*($C$8*(1+$C$8)^$C$11)/((1+$C$8)^$C$11-1))</f>
        <v>4868.4796039765415</v>
      </c>
      <c r="I175" s="20">
        <f>IF(B175&gt;$C$11,"", H175-(J174*$C$8))</f>
        <v>4130.4954588089704</v>
      </c>
      <c r="J175" s="20">
        <f t="shared" si="10"/>
        <v>94267.390563533874</v>
      </c>
    </row>
    <row r="176" spans="2:10" x14ac:dyDescent="0.3">
      <c r="B176" s="6">
        <v>160</v>
      </c>
      <c r="C176" s="20">
        <f>IF(B176&gt;$C$11,"", $C$10/$C$11)</f>
        <v>2666.6666666666665</v>
      </c>
      <c r="D176" s="20">
        <f>IF(B176&gt;$C$11,"", F175*$C$8)</f>
        <v>419.99999999999091</v>
      </c>
      <c r="E176" s="20">
        <f t="shared" si="8"/>
        <v>3086.6666666666574</v>
      </c>
      <c r="F176" s="20">
        <f t="shared" si="9"/>
        <v>53333.333333332128</v>
      </c>
      <c r="H176" s="20">
        <f>IF(B176&gt;$C$11,"", $C$10*($C$8*(1+$C$8)^$C$11)/((1+$C$8)^$C$11-1))</f>
        <v>4868.4796039765415</v>
      </c>
      <c r="I176" s="20">
        <f>IF(B176&gt;$C$11,"", H176-(J175*$C$8))</f>
        <v>4161.4741747500375</v>
      </c>
      <c r="J176" s="20">
        <f t="shared" si="10"/>
        <v>90105.916388783837</v>
      </c>
    </row>
    <row r="177" spans="2:10" x14ac:dyDescent="0.3">
      <c r="B177" s="6">
        <v>161</v>
      </c>
      <c r="C177" s="20">
        <f>IF(B177&gt;$C$11,"", $C$10/$C$11)</f>
        <v>2666.6666666666665</v>
      </c>
      <c r="D177" s="20">
        <f>IF(B177&gt;$C$11,"", F176*$C$8)</f>
        <v>399.99999999999096</v>
      </c>
      <c r="E177" s="20">
        <f t="shared" si="8"/>
        <v>3066.6666666666574</v>
      </c>
      <c r="F177" s="20">
        <f t="shared" si="9"/>
        <v>50666.666666665464</v>
      </c>
      <c r="H177" s="20">
        <f>IF(B177&gt;$C$11,"", $C$10*($C$8*(1+$C$8)^$C$11)/((1+$C$8)^$C$11-1))</f>
        <v>4868.4796039765415</v>
      </c>
      <c r="I177" s="20">
        <f>IF(B177&gt;$C$11,"", H177-(J176*$C$8))</f>
        <v>4192.6852310606628</v>
      </c>
      <c r="J177" s="20">
        <f t="shared" si="10"/>
        <v>85913.231157723174</v>
      </c>
    </row>
    <row r="178" spans="2:10" x14ac:dyDescent="0.3">
      <c r="B178" s="6">
        <v>162</v>
      </c>
      <c r="C178" s="20">
        <f>IF(B178&gt;$C$11,"", $C$10/$C$11)</f>
        <v>2666.6666666666665</v>
      </c>
      <c r="D178" s="20">
        <f>IF(B178&gt;$C$11,"", F177*$C$8)</f>
        <v>379.99999999999096</v>
      </c>
      <c r="E178" s="20">
        <f t="shared" si="8"/>
        <v>3046.6666666666574</v>
      </c>
      <c r="F178" s="20">
        <f t="shared" si="9"/>
        <v>47999.999999998799</v>
      </c>
      <c r="H178" s="20">
        <f>IF(B178&gt;$C$11,"", $C$10*($C$8*(1+$C$8)^$C$11)/((1+$C$8)^$C$11-1))</f>
        <v>4868.4796039765415</v>
      </c>
      <c r="I178" s="20">
        <f>IF(B178&gt;$C$11,"", H178-(J177*$C$8))</f>
        <v>4224.1303702936175</v>
      </c>
      <c r="J178" s="20">
        <f t="shared" si="10"/>
        <v>81689.100787429561</v>
      </c>
    </row>
    <row r="179" spans="2:10" x14ac:dyDescent="0.3">
      <c r="B179" s="6">
        <v>163</v>
      </c>
      <c r="C179" s="20">
        <f>IF(B179&gt;$C$11,"", $C$10/$C$11)</f>
        <v>2666.6666666666665</v>
      </c>
      <c r="D179" s="20">
        <f>IF(B179&gt;$C$11,"", F178*$C$8)</f>
        <v>359.99999999999096</v>
      </c>
      <c r="E179" s="20">
        <f t="shared" si="8"/>
        <v>3026.6666666666574</v>
      </c>
      <c r="F179" s="20">
        <f t="shared" si="9"/>
        <v>45333.333333332135</v>
      </c>
      <c r="H179" s="20">
        <f>IF(B179&gt;$C$11,"", $C$10*($C$8*(1+$C$8)^$C$11)/((1+$C$8)^$C$11-1))</f>
        <v>4868.4796039765415</v>
      </c>
      <c r="I179" s="20">
        <f>IF(B179&gt;$C$11,"", H179-(J178*$C$8))</f>
        <v>4255.8113480708198</v>
      </c>
      <c r="J179" s="20">
        <f t="shared" si="10"/>
        <v>77433.289439358748</v>
      </c>
    </row>
    <row r="180" spans="2:10" x14ac:dyDescent="0.3">
      <c r="B180" s="6">
        <v>164</v>
      </c>
      <c r="C180" s="20">
        <f>IF(B180&gt;$C$11,"", $C$10/$C$11)</f>
        <v>2666.6666666666665</v>
      </c>
      <c r="D180" s="20">
        <f>IF(B180&gt;$C$11,"", F179*$C$8)</f>
        <v>339.99999999999102</v>
      </c>
      <c r="E180" s="20">
        <f t="shared" si="8"/>
        <v>3006.6666666666574</v>
      </c>
      <c r="F180" s="20">
        <f t="shared" si="9"/>
        <v>42666.666666665471</v>
      </c>
      <c r="H180" s="20">
        <f>IF(B180&gt;$C$11,"", $C$10*($C$8*(1+$C$8)^$C$11)/((1+$C$8)^$C$11-1))</f>
        <v>4868.4796039765415</v>
      </c>
      <c r="I180" s="20">
        <f>IF(B180&gt;$C$11,"", H180-(J179*$C$8))</f>
        <v>4287.729933181351</v>
      </c>
      <c r="J180" s="20">
        <f t="shared" si="10"/>
        <v>73145.559506177393</v>
      </c>
    </row>
    <row r="181" spans="2:10" x14ac:dyDescent="0.3">
      <c r="B181" s="6">
        <v>165</v>
      </c>
      <c r="C181" s="20">
        <f>IF(B181&gt;$C$11,"", $C$10/$C$11)</f>
        <v>2666.6666666666665</v>
      </c>
      <c r="D181" s="20">
        <f>IF(B181&gt;$C$11,"", F180*$C$8)</f>
        <v>319.99999999999102</v>
      </c>
      <c r="E181" s="20">
        <f t="shared" si="8"/>
        <v>2986.6666666666574</v>
      </c>
      <c r="F181" s="20">
        <f t="shared" si="9"/>
        <v>39999.999999998807</v>
      </c>
      <c r="H181" s="20">
        <f>IF(B181&gt;$C$11,"", $C$10*($C$8*(1+$C$8)^$C$11)/((1+$C$8)^$C$11-1))</f>
        <v>4868.4796039765415</v>
      </c>
      <c r="I181" s="20">
        <f>IF(B181&gt;$C$11,"", H181-(J180*$C$8))</f>
        <v>4319.8879076802114</v>
      </c>
      <c r="J181" s="20">
        <f t="shared" si="10"/>
        <v>68825.671598497182</v>
      </c>
    </row>
    <row r="182" spans="2:10" x14ac:dyDescent="0.3">
      <c r="B182" s="6">
        <v>166</v>
      </c>
      <c r="C182" s="20">
        <f>IF(B182&gt;$C$11,"", $C$10/$C$11)</f>
        <v>2666.6666666666665</v>
      </c>
      <c r="D182" s="20">
        <f>IF(B182&gt;$C$11,"", F181*$C$8)</f>
        <v>299.99999999999102</v>
      </c>
      <c r="E182" s="20">
        <f t="shared" si="8"/>
        <v>2966.6666666666574</v>
      </c>
      <c r="F182" s="20">
        <f t="shared" si="9"/>
        <v>37333.333333332143</v>
      </c>
      <c r="H182" s="20">
        <f>IF(B182&gt;$C$11,"", $C$10*($C$8*(1+$C$8)^$C$11)/((1+$C$8)^$C$11-1))</f>
        <v>4868.4796039765415</v>
      </c>
      <c r="I182" s="20">
        <f>IF(B182&gt;$C$11,"", H182-(J181*$C$8))</f>
        <v>4352.287066987813</v>
      </c>
      <c r="J182" s="20">
        <f t="shared" si="10"/>
        <v>64473.384531509371</v>
      </c>
    </row>
    <row r="183" spans="2:10" x14ac:dyDescent="0.3">
      <c r="B183" s="6">
        <v>167</v>
      </c>
      <c r="C183" s="20">
        <f>IF(B183&gt;$C$11,"", $C$10/$C$11)</f>
        <v>2666.6666666666665</v>
      </c>
      <c r="D183" s="20">
        <f>IF(B183&gt;$C$11,"", F182*$C$8)</f>
        <v>279.99999999999108</v>
      </c>
      <c r="E183" s="20">
        <f t="shared" si="8"/>
        <v>2946.6666666666574</v>
      </c>
      <c r="F183" s="20">
        <f t="shared" si="9"/>
        <v>34666.666666665478</v>
      </c>
      <c r="H183" s="20">
        <f>IF(B183&gt;$C$11,"", $C$10*($C$8*(1+$C$8)^$C$11)/((1+$C$8)^$C$11-1))</f>
        <v>4868.4796039765415</v>
      </c>
      <c r="I183" s="20">
        <f>IF(B183&gt;$C$11,"", H183-(J182*$C$8))</f>
        <v>4384.9292199902211</v>
      </c>
      <c r="J183" s="20">
        <f t="shared" si="10"/>
        <v>60088.455311519152</v>
      </c>
    </row>
    <row r="184" spans="2:10" x14ac:dyDescent="0.3">
      <c r="B184" s="6">
        <v>168</v>
      </c>
      <c r="C184" s="20">
        <f>IF(B184&gt;$C$11,"", $C$10/$C$11)</f>
        <v>2666.6666666666665</v>
      </c>
      <c r="D184" s="20">
        <f>IF(B184&gt;$C$11,"", F183*$C$8)</f>
        <v>259.99999999999108</v>
      </c>
      <c r="E184" s="20">
        <f t="shared" si="8"/>
        <v>2926.6666666666574</v>
      </c>
      <c r="F184" s="20">
        <f t="shared" si="9"/>
        <v>31999.99999999881</v>
      </c>
      <c r="H184" s="20">
        <f>IF(B184&gt;$C$11,"", $C$10*($C$8*(1+$C$8)^$C$11)/((1+$C$8)^$C$11-1))</f>
        <v>4868.4796039765415</v>
      </c>
      <c r="I184" s="20">
        <f>IF(B184&gt;$C$11,"", H184-(J183*$C$8))</f>
        <v>4417.8161891401478</v>
      </c>
      <c r="J184" s="20">
        <f t="shared" si="10"/>
        <v>55670.639122379005</v>
      </c>
    </row>
    <row r="185" spans="2:10" x14ac:dyDescent="0.3">
      <c r="B185" s="6">
        <v>169</v>
      </c>
      <c r="C185" s="20">
        <f>IF(B185&gt;$C$11,"", $C$10/$C$11)</f>
        <v>2666.6666666666665</v>
      </c>
      <c r="D185" s="20">
        <f>IF(B185&gt;$C$11,"", F184*$C$8)</f>
        <v>239.99999999999108</v>
      </c>
      <c r="E185" s="20">
        <f t="shared" si="8"/>
        <v>2906.6666666666574</v>
      </c>
      <c r="F185" s="20">
        <f t="shared" si="9"/>
        <v>29333.333333332143</v>
      </c>
      <c r="H185" s="20">
        <f>IF(B185&gt;$C$11,"", $C$10*($C$8*(1+$C$8)^$C$11)/((1+$C$8)^$C$11-1))</f>
        <v>4868.4796039765415</v>
      </c>
      <c r="I185" s="20">
        <f>IF(B185&gt;$C$11,"", H185-(J184*$C$8))</f>
        <v>4450.949810558699</v>
      </c>
      <c r="J185" s="20">
        <f t="shared" si="10"/>
        <v>51219.689311820308</v>
      </c>
    </row>
    <row r="186" spans="2:10" x14ac:dyDescent="0.3">
      <c r="B186" s="6">
        <v>170</v>
      </c>
      <c r="C186" s="20">
        <f>IF(B186&gt;$C$11,"", $C$10/$C$11)</f>
        <v>2666.6666666666665</v>
      </c>
      <c r="D186" s="20">
        <f>IF(B186&gt;$C$11,"", F185*$C$8)</f>
        <v>219.99999999999105</v>
      </c>
      <c r="E186" s="20">
        <f t="shared" si="8"/>
        <v>2886.6666666666574</v>
      </c>
      <c r="F186" s="20">
        <f t="shared" si="9"/>
        <v>26666.666666665475</v>
      </c>
      <c r="H186" s="20">
        <f>IF(B186&gt;$C$11,"", $C$10*($C$8*(1+$C$8)^$C$11)/((1+$C$8)^$C$11-1))</f>
        <v>4868.4796039765415</v>
      </c>
      <c r="I186" s="20">
        <f>IF(B186&gt;$C$11,"", H186-(J185*$C$8))</f>
        <v>4484.3319341378892</v>
      </c>
      <c r="J186" s="20">
        <f t="shared" si="10"/>
        <v>46735.35737768242</v>
      </c>
    </row>
    <row r="187" spans="2:10" x14ac:dyDescent="0.3">
      <c r="B187" s="6">
        <v>171</v>
      </c>
      <c r="C187" s="20">
        <f>IF(B187&gt;$C$11,"", $C$10/$C$11)</f>
        <v>2666.6666666666665</v>
      </c>
      <c r="D187" s="20">
        <f>IF(B187&gt;$C$11,"", F186*$C$8)</f>
        <v>199.99999999999105</v>
      </c>
      <c r="E187" s="20">
        <f t="shared" si="8"/>
        <v>2866.6666666666574</v>
      </c>
      <c r="F187" s="20">
        <f t="shared" si="9"/>
        <v>23999.999999998807</v>
      </c>
      <c r="H187" s="20">
        <f>IF(B187&gt;$C$11,"", $C$10*($C$8*(1+$C$8)^$C$11)/((1+$C$8)^$C$11-1))</f>
        <v>4868.4796039765415</v>
      </c>
      <c r="I187" s="20">
        <f>IF(B187&gt;$C$11,"", H187-(J186*$C$8))</f>
        <v>4517.9644236439235</v>
      </c>
      <c r="J187" s="20">
        <f t="shared" si="10"/>
        <v>42217.3929540385</v>
      </c>
    </row>
    <row r="188" spans="2:10" x14ac:dyDescent="0.3">
      <c r="B188" s="6">
        <v>172</v>
      </c>
      <c r="C188" s="20">
        <f>IF(B188&gt;$C$11,"", $C$10/$C$11)</f>
        <v>2666.6666666666665</v>
      </c>
      <c r="D188" s="20">
        <f>IF(B188&gt;$C$11,"", F187*$C$8)</f>
        <v>179.99999999999105</v>
      </c>
      <c r="E188" s="20">
        <f t="shared" si="8"/>
        <v>2846.6666666666574</v>
      </c>
      <c r="F188" s="20">
        <f t="shared" si="9"/>
        <v>21333.333333332139</v>
      </c>
      <c r="H188" s="20">
        <f>IF(B188&gt;$C$11,"", $C$10*($C$8*(1+$C$8)^$C$11)/((1+$C$8)^$C$11-1))</f>
        <v>4868.4796039765415</v>
      </c>
      <c r="I188" s="20">
        <f>IF(B188&gt;$C$11,"", H188-(J187*$C$8))</f>
        <v>4551.849156821253</v>
      </c>
      <c r="J188" s="20">
        <f t="shared" si="10"/>
        <v>37665.543797217244</v>
      </c>
    </row>
    <row r="189" spans="2:10" x14ac:dyDescent="0.3">
      <c r="B189" s="6">
        <v>173</v>
      </c>
      <c r="C189" s="20">
        <f>IF(B189&gt;$C$11,"", $C$10/$C$11)</f>
        <v>2666.6666666666665</v>
      </c>
      <c r="D189" s="20">
        <f>IF(B189&gt;$C$11,"", F188*$C$8)</f>
        <v>159.99999999999105</v>
      </c>
      <c r="E189" s="20">
        <f t="shared" si="8"/>
        <v>2826.6666666666574</v>
      </c>
      <c r="F189" s="20">
        <f t="shared" si="9"/>
        <v>18666.666666665471</v>
      </c>
      <c r="H189" s="20">
        <f>IF(B189&gt;$C$11,"", $C$10*($C$8*(1+$C$8)^$C$11)/((1+$C$8)^$C$11-1))</f>
        <v>4868.4796039765415</v>
      </c>
      <c r="I189" s="20">
        <f>IF(B189&gt;$C$11,"", H189-(J188*$C$8))</f>
        <v>4585.9880254974123</v>
      </c>
      <c r="J189" s="20">
        <f t="shared" si="10"/>
        <v>33079.555771719832</v>
      </c>
    </row>
    <row r="190" spans="2:10" x14ac:dyDescent="0.3">
      <c r="B190" s="6">
        <v>174</v>
      </c>
      <c r="C190" s="20">
        <f>IF(B190&gt;$C$11,"", $C$10/$C$11)</f>
        <v>2666.6666666666665</v>
      </c>
      <c r="D190" s="20">
        <f>IF(B190&gt;$C$11,"", F189*$C$8)</f>
        <v>139.99999999999102</v>
      </c>
      <c r="E190" s="20">
        <f t="shared" si="8"/>
        <v>2806.6666666666574</v>
      </c>
      <c r="F190" s="20">
        <f t="shared" si="9"/>
        <v>15999.999999998805</v>
      </c>
      <c r="H190" s="20">
        <f>IF(B190&gt;$C$11,"", $C$10*($C$8*(1+$C$8)^$C$11)/((1+$C$8)^$C$11-1))</f>
        <v>4868.4796039765415</v>
      </c>
      <c r="I190" s="20">
        <f>IF(B190&gt;$C$11,"", H190-(J189*$C$8))</f>
        <v>4620.3829356886426</v>
      </c>
      <c r="J190" s="20">
        <f t="shared" si="10"/>
        <v>28459.17283603119</v>
      </c>
    </row>
    <row r="191" spans="2:10" x14ac:dyDescent="0.3">
      <c r="B191" s="6">
        <v>175</v>
      </c>
      <c r="C191" s="20">
        <f>IF(B191&gt;$C$11,"", $C$10/$C$11)</f>
        <v>2666.6666666666665</v>
      </c>
      <c r="D191" s="20">
        <f>IF(B191&gt;$C$11,"", F190*$C$8)</f>
        <v>119.99999999999103</v>
      </c>
      <c r="E191" s="20">
        <f t="shared" si="8"/>
        <v>2786.6666666666574</v>
      </c>
      <c r="F191" s="20">
        <f t="shared" si="9"/>
        <v>13333.333333332139</v>
      </c>
      <c r="H191" s="20">
        <f>IF(B191&gt;$C$11,"", $C$10*($C$8*(1+$C$8)^$C$11)/((1+$C$8)^$C$11-1))</f>
        <v>4868.4796039765415</v>
      </c>
      <c r="I191" s="20">
        <f>IF(B191&gt;$C$11,"", H191-(J190*$C$8))</f>
        <v>4655.0358077063074</v>
      </c>
      <c r="J191" s="20">
        <f t="shared" si="10"/>
        <v>23804.137028324883</v>
      </c>
    </row>
    <row r="192" spans="2:10" x14ac:dyDescent="0.3">
      <c r="B192" s="6">
        <v>176</v>
      </c>
      <c r="C192" s="20">
        <f>IF(B192&gt;$C$11,"", $C$10/$C$11)</f>
        <v>2666.6666666666665</v>
      </c>
      <c r="D192" s="20">
        <f>IF(B192&gt;$C$11,"", F191*$C$8)</f>
        <v>99.999999999991033</v>
      </c>
      <c r="E192" s="20">
        <f t="shared" si="8"/>
        <v>2766.6666666666574</v>
      </c>
      <c r="F192" s="20">
        <f t="shared" si="9"/>
        <v>10666.666666665473</v>
      </c>
      <c r="H192" s="20">
        <f>IF(B192&gt;$C$11,"", $C$10*($C$8*(1+$C$8)^$C$11)/((1+$C$8)^$C$11-1))</f>
        <v>4868.4796039765415</v>
      </c>
      <c r="I192" s="20">
        <f>IF(B192&gt;$C$11,"", H192-(J191*$C$8))</f>
        <v>4689.9485762641052</v>
      </c>
      <c r="J192" s="20">
        <f t="shared" si="10"/>
        <v>19114.188452060778</v>
      </c>
    </row>
    <row r="193" spans="2:10" x14ac:dyDescent="0.3">
      <c r="B193" s="6">
        <v>177</v>
      </c>
      <c r="C193" s="20">
        <f>IF(B193&gt;$C$11,"", $C$10/$C$11)</f>
        <v>2666.6666666666665</v>
      </c>
      <c r="D193" s="20">
        <f>IF(B193&gt;$C$11,"", F192*$C$8)</f>
        <v>79.999999999991047</v>
      </c>
      <c r="E193" s="20">
        <f t="shared" si="8"/>
        <v>2746.6666666666574</v>
      </c>
      <c r="F193" s="20">
        <f t="shared" si="9"/>
        <v>7999.9999999988067</v>
      </c>
      <c r="H193" s="20">
        <f>IF(B193&gt;$C$11,"", $C$10*($C$8*(1+$C$8)^$C$11)/((1+$C$8)^$C$11-1))</f>
        <v>4868.4796039765415</v>
      </c>
      <c r="I193" s="20">
        <f>IF(B193&gt;$C$11,"", H193-(J192*$C$8))</f>
        <v>4725.1231905860859</v>
      </c>
      <c r="J193" s="20">
        <f t="shared" si="10"/>
        <v>14389.065261474692</v>
      </c>
    </row>
    <row r="194" spans="2:10" x14ac:dyDescent="0.3">
      <c r="B194" s="6">
        <v>178</v>
      </c>
      <c r="C194" s="20">
        <f>IF(B194&gt;$C$11,"", $C$10/$C$11)</f>
        <v>2666.6666666666665</v>
      </c>
      <c r="D194" s="20">
        <f>IF(B194&gt;$C$11,"", F193*$C$8)</f>
        <v>59.999999999991047</v>
      </c>
      <c r="E194" s="20">
        <f t="shared" si="8"/>
        <v>2726.6666666666574</v>
      </c>
      <c r="F194" s="20">
        <f t="shared" si="9"/>
        <v>5333.3333333321407</v>
      </c>
      <c r="H194" s="20">
        <f>IF(B194&gt;$C$11,"", $C$10*($C$8*(1+$C$8)^$C$11)/((1+$C$8)^$C$11-1))</f>
        <v>4868.4796039765415</v>
      </c>
      <c r="I194" s="20">
        <f>IF(B194&gt;$C$11,"", H194-(J193*$C$8))</f>
        <v>4760.5616145154818</v>
      </c>
      <c r="J194" s="20">
        <f t="shared" si="10"/>
        <v>9628.5036469592105</v>
      </c>
    </row>
    <row r="195" spans="2:10" x14ac:dyDescent="0.3">
      <c r="B195" s="6">
        <v>179</v>
      </c>
      <c r="C195" s="20">
        <f>IF(B195&gt;$C$11,"", $C$10/$C$11)</f>
        <v>2666.6666666666665</v>
      </c>
      <c r="D195" s="20">
        <f>IF(B195&gt;$C$11,"", F194*$C$8)</f>
        <v>39.999999999991054</v>
      </c>
      <c r="E195" s="20">
        <f t="shared" si="8"/>
        <v>2706.6666666666574</v>
      </c>
      <c r="F195" s="20">
        <f t="shared" si="9"/>
        <v>2666.6666666654742</v>
      </c>
      <c r="H195" s="20">
        <f>IF(B195&gt;$C$11,"", $C$10*($C$8*(1+$C$8)^$C$11)/((1+$C$8)^$C$11-1))</f>
        <v>4868.4796039765415</v>
      </c>
      <c r="I195" s="20">
        <f>IF(B195&gt;$C$11,"", H195-(J194*$C$8))</f>
        <v>4796.265826624347</v>
      </c>
      <c r="J195" s="20">
        <f t="shared" si="10"/>
        <v>4832.2378203348635</v>
      </c>
    </row>
    <row r="196" spans="2:10" x14ac:dyDescent="0.3">
      <c r="B196" s="6">
        <v>180</v>
      </c>
      <c r="C196" s="20">
        <f>IF(B196&gt;$C$11,"", $C$10/$C$11)</f>
        <v>2666.6666666666665</v>
      </c>
      <c r="D196" s="20">
        <f>IF(B196&gt;$C$11,"", F195*$C$8)</f>
        <v>19.999999999991054</v>
      </c>
      <c r="E196" s="20">
        <f t="shared" si="8"/>
        <v>2686.6666666666574</v>
      </c>
      <c r="F196" s="20">
        <f t="shared" si="9"/>
        <v>-1.1923475540243089E-9</v>
      </c>
      <c r="H196" s="20">
        <f>IF(B196&gt;$C$11,"", $C$10*($C$8*(1+$C$8)^$C$11)/((1+$C$8)^$C$11-1))</f>
        <v>4868.4796039765415</v>
      </c>
      <c r="I196" s="20">
        <f>IF(B196&gt;$C$11,"", H196-(J195*$C$8))</f>
        <v>4832.2378203240296</v>
      </c>
      <c r="J196" s="20">
        <f t="shared" si="10"/>
        <v>1.0833900887519121E-8</v>
      </c>
    </row>
    <row r="197" spans="2:10" x14ac:dyDescent="0.3">
      <c r="B197" s="6">
        <v>181</v>
      </c>
      <c r="C197" s="20" t="str">
        <f>IF(B197&gt;$C$11,"", $C$10/$C$11)</f>
        <v/>
      </c>
      <c r="D197" s="20" t="str">
        <f>IF(B197&gt;$C$11,"", F196*$C$8)</f>
        <v/>
      </c>
      <c r="E197" s="20" t="str">
        <f t="shared" si="8"/>
        <v/>
      </c>
      <c r="F197" s="20" t="str">
        <f t="shared" si="9"/>
        <v/>
      </c>
      <c r="H197" s="20" t="str">
        <f>IF(B197&gt;$C$11,"", $C$10*($C$8*(1+$C$8)^$C$11)/((1+$C$8)^$C$11-1))</f>
        <v/>
      </c>
      <c r="I197" s="20" t="str">
        <f>IF(B197&gt;$C$11,"", H197-(J196*$C$8))</f>
        <v/>
      </c>
      <c r="J197" s="20" t="str">
        <f t="shared" si="10"/>
        <v/>
      </c>
    </row>
    <row r="198" spans="2:10" x14ac:dyDescent="0.3">
      <c r="B198" s="6">
        <v>182</v>
      </c>
      <c r="C198" s="20" t="str">
        <f>IF(B198&gt;$C$11,"", $C$10/$C$11)</f>
        <v/>
      </c>
      <c r="D198" s="20" t="str">
        <f>IF(B198&gt;$C$11,"", F197*$C$8)</f>
        <v/>
      </c>
      <c r="E198" s="20" t="str">
        <f t="shared" si="8"/>
        <v/>
      </c>
      <c r="F198" s="20" t="str">
        <f t="shared" si="9"/>
        <v/>
      </c>
      <c r="H198" s="20" t="str">
        <f>IF(B198&gt;$C$11,"", $C$10*($C$8*(1+$C$8)^$C$11)/((1+$C$8)^$C$11-1))</f>
        <v/>
      </c>
      <c r="I198" s="20" t="str">
        <f>IF(B198&gt;$C$11,"", H198-(J197*$C$8))</f>
        <v/>
      </c>
      <c r="J198" s="20" t="str">
        <f t="shared" si="10"/>
        <v/>
      </c>
    </row>
    <row r="199" spans="2:10" x14ac:dyDescent="0.3">
      <c r="B199" s="6">
        <v>183</v>
      </c>
      <c r="C199" s="20" t="str">
        <f>IF(B199&gt;$C$11,"", $C$10/$C$11)</f>
        <v/>
      </c>
      <c r="D199" s="20" t="str">
        <f>IF(B199&gt;$C$11,"", F198*$C$8)</f>
        <v/>
      </c>
      <c r="E199" s="20" t="str">
        <f t="shared" si="8"/>
        <v/>
      </c>
      <c r="F199" s="20" t="str">
        <f t="shared" si="9"/>
        <v/>
      </c>
      <c r="H199" s="20" t="str">
        <f>IF(B199&gt;$C$11,"", $C$10*($C$8*(1+$C$8)^$C$11)/((1+$C$8)^$C$11-1))</f>
        <v/>
      </c>
      <c r="I199" s="20" t="str">
        <f>IF(B199&gt;$C$11,"", H199-(J198*$C$8))</f>
        <v/>
      </c>
      <c r="J199" s="20" t="str">
        <f t="shared" si="10"/>
        <v/>
      </c>
    </row>
    <row r="200" spans="2:10" x14ac:dyDescent="0.3">
      <c r="B200" s="6">
        <v>184</v>
      </c>
      <c r="C200" s="20" t="str">
        <f>IF(B200&gt;$C$11,"", $C$10/$C$11)</f>
        <v/>
      </c>
      <c r="D200" s="20" t="str">
        <f>IF(B200&gt;$C$11,"", F199*$C$8)</f>
        <v/>
      </c>
      <c r="E200" s="20" t="str">
        <f t="shared" si="8"/>
        <v/>
      </c>
      <c r="F200" s="20" t="str">
        <f t="shared" si="9"/>
        <v/>
      </c>
      <c r="H200" s="20" t="str">
        <f>IF(B200&gt;$C$11,"", $C$10*($C$8*(1+$C$8)^$C$11)/((1+$C$8)^$C$11-1))</f>
        <v/>
      </c>
      <c r="I200" s="20" t="str">
        <f>IF(B200&gt;$C$11,"", H200-(J199*$C$8))</f>
        <v/>
      </c>
      <c r="J200" s="20" t="str">
        <f t="shared" si="10"/>
        <v/>
      </c>
    </row>
    <row r="201" spans="2:10" x14ac:dyDescent="0.3">
      <c r="B201" s="6">
        <v>185</v>
      </c>
      <c r="C201" s="20" t="str">
        <f>IF(B201&gt;$C$11,"", $C$10/$C$11)</f>
        <v/>
      </c>
      <c r="D201" s="20" t="str">
        <f>IF(B201&gt;$C$11,"", F200*$C$8)</f>
        <v/>
      </c>
      <c r="E201" s="20" t="str">
        <f t="shared" si="8"/>
        <v/>
      </c>
      <c r="F201" s="20" t="str">
        <f t="shared" si="9"/>
        <v/>
      </c>
      <c r="H201" s="20" t="str">
        <f>IF(B201&gt;$C$11,"", $C$10*($C$8*(1+$C$8)^$C$11)/((1+$C$8)^$C$11-1))</f>
        <v/>
      </c>
      <c r="I201" s="20" t="str">
        <f>IF(B201&gt;$C$11,"", H201-(J200*$C$8))</f>
        <v/>
      </c>
      <c r="J201" s="20" t="str">
        <f t="shared" si="10"/>
        <v/>
      </c>
    </row>
    <row r="202" spans="2:10" x14ac:dyDescent="0.3">
      <c r="B202" s="6">
        <v>186</v>
      </c>
      <c r="C202" s="20" t="str">
        <f>IF(B202&gt;$C$11,"", $C$10/$C$11)</f>
        <v/>
      </c>
      <c r="D202" s="20" t="str">
        <f>IF(B202&gt;$C$11,"", F201*$C$8)</f>
        <v/>
      </c>
      <c r="E202" s="20" t="str">
        <f t="shared" si="8"/>
        <v/>
      </c>
      <c r="F202" s="20" t="str">
        <f t="shared" si="9"/>
        <v/>
      </c>
      <c r="H202" s="20" t="str">
        <f>IF(B202&gt;$C$11,"", $C$10*($C$8*(1+$C$8)^$C$11)/((1+$C$8)^$C$11-1))</f>
        <v/>
      </c>
      <c r="I202" s="20" t="str">
        <f>IF(B202&gt;$C$11,"", H202-(J201*$C$8))</f>
        <v/>
      </c>
      <c r="J202" s="20" t="str">
        <f t="shared" si="10"/>
        <v/>
      </c>
    </row>
    <row r="203" spans="2:10" x14ac:dyDescent="0.3">
      <c r="B203" s="6">
        <v>187</v>
      </c>
      <c r="C203" s="20" t="str">
        <f>IF(B203&gt;$C$11,"", $C$10/$C$11)</f>
        <v/>
      </c>
      <c r="D203" s="20" t="str">
        <f>IF(B203&gt;$C$11,"", F202*$C$8)</f>
        <v/>
      </c>
      <c r="E203" s="20" t="str">
        <f t="shared" si="8"/>
        <v/>
      </c>
      <c r="F203" s="20" t="str">
        <f t="shared" si="9"/>
        <v/>
      </c>
      <c r="H203" s="20" t="str">
        <f>IF(B203&gt;$C$11,"", $C$10*($C$8*(1+$C$8)^$C$11)/((1+$C$8)^$C$11-1))</f>
        <v/>
      </c>
      <c r="I203" s="20" t="str">
        <f>IF(B203&gt;$C$11,"", H203-(J202*$C$8))</f>
        <v/>
      </c>
      <c r="J203" s="20" t="str">
        <f t="shared" si="10"/>
        <v/>
      </c>
    </row>
    <row r="204" spans="2:10" x14ac:dyDescent="0.3">
      <c r="B204" s="6">
        <v>188</v>
      </c>
      <c r="C204" s="20" t="str">
        <f>IF(B204&gt;$C$11,"", $C$10/$C$11)</f>
        <v/>
      </c>
      <c r="D204" s="20" t="str">
        <f>IF(B204&gt;$C$11,"", F203*$C$8)</f>
        <v/>
      </c>
      <c r="E204" s="20" t="str">
        <f t="shared" si="8"/>
        <v/>
      </c>
      <c r="F204" s="20" t="str">
        <f t="shared" si="9"/>
        <v/>
      </c>
      <c r="H204" s="20" t="str">
        <f>IF(B204&gt;$C$11,"", $C$10*($C$8*(1+$C$8)^$C$11)/((1+$C$8)^$C$11-1))</f>
        <v/>
      </c>
      <c r="I204" s="20" t="str">
        <f>IF(B204&gt;$C$11,"", H204-(J203*$C$8))</f>
        <v/>
      </c>
      <c r="J204" s="20" t="str">
        <f t="shared" si="10"/>
        <v/>
      </c>
    </row>
    <row r="205" spans="2:10" x14ac:dyDescent="0.3">
      <c r="B205" s="6">
        <v>189</v>
      </c>
      <c r="C205" s="20" t="str">
        <f>IF(B205&gt;$C$11,"", $C$10/$C$11)</f>
        <v/>
      </c>
      <c r="D205" s="20" t="str">
        <f>IF(B205&gt;$C$11,"", F204*$C$8)</f>
        <v/>
      </c>
      <c r="E205" s="20" t="str">
        <f t="shared" si="8"/>
        <v/>
      </c>
      <c r="F205" s="20" t="str">
        <f t="shared" si="9"/>
        <v/>
      </c>
      <c r="H205" s="20" t="str">
        <f>IF(B205&gt;$C$11,"", $C$10*($C$8*(1+$C$8)^$C$11)/((1+$C$8)^$C$11-1))</f>
        <v/>
      </c>
      <c r="I205" s="20" t="str">
        <f>IF(B205&gt;$C$11,"", H205-(J204*$C$8))</f>
        <v/>
      </c>
      <c r="J205" s="20" t="str">
        <f t="shared" si="10"/>
        <v/>
      </c>
    </row>
    <row r="206" spans="2:10" x14ac:dyDescent="0.3">
      <c r="B206" s="6">
        <v>190</v>
      </c>
      <c r="C206" s="20" t="str">
        <f>IF(B206&gt;$C$11,"", $C$10/$C$11)</f>
        <v/>
      </c>
      <c r="D206" s="20" t="str">
        <f>IF(B206&gt;$C$11,"", F205*$C$8)</f>
        <v/>
      </c>
      <c r="E206" s="20" t="str">
        <f t="shared" si="8"/>
        <v/>
      </c>
      <c r="F206" s="20" t="str">
        <f t="shared" si="9"/>
        <v/>
      </c>
      <c r="H206" s="20" t="str">
        <f>IF(B206&gt;$C$11,"", $C$10*($C$8*(1+$C$8)^$C$11)/((1+$C$8)^$C$11-1))</f>
        <v/>
      </c>
      <c r="I206" s="20" t="str">
        <f>IF(B206&gt;$C$11,"", H206-(J205*$C$8))</f>
        <v/>
      </c>
      <c r="J206" s="20" t="str">
        <f t="shared" si="10"/>
        <v/>
      </c>
    </row>
    <row r="207" spans="2:10" x14ac:dyDescent="0.3">
      <c r="B207" s="6">
        <v>191</v>
      </c>
      <c r="C207" s="20" t="str">
        <f>IF(B207&gt;$C$11,"", $C$10/$C$11)</f>
        <v/>
      </c>
      <c r="D207" s="20" t="str">
        <f>IF(B207&gt;$C$11,"", F206*$C$8)</f>
        <v/>
      </c>
      <c r="E207" s="20" t="str">
        <f t="shared" si="8"/>
        <v/>
      </c>
      <c r="F207" s="20" t="str">
        <f t="shared" si="9"/>
        <v/>
      </c>
      <c r="H207" s="20" t="str">
        <f>IF(B207&gt;$C$11,"", $C$10*($C$8*(1+$C$8)^$C$11)/((1+$C$8)^$C$11-1))</f>
        <v/>
      </c>
      <c r="I207" s="20" t="str">
        <f>IF(B207&gt;$C$11,"", H207-(J206*$C$8))</f>
        <v/>
      </c>
      <c r="J207" s="20" t="str">
        <f t="shared" si="10"/>
        <v/>
      </c>
    </row>
    <row r="208" spans="2:10" x14ac:dyDescent="0.3">
      <c r="B208" s="6">
        <v>192</v>
      </c>
      <c r="C208" s="20" t="str">
        <f>IF(B208&gt;$C$11,"", $C$10/$C$11)</f>
        <v/>
      </c>
      <c r="D208" s="20" t="str">
        <f>IF(B208&gt;$C$11,"", F207*$C$8)</f>
        <v/>
      </c>
      <c r="E208" s="20" t="str">
        <f t="shared" si="8"/>
        <v/>
      </c>
      <c r="F208" s="20" t="str">
        <f t="shared" si="9"/>
        <v/>
      </c>
      <c r="H208" s="20" t="str">
        <f>IF(B208&gt;$C$11,"", $C$10*($C$8*(1+$C$8)^$C$11)/((1+$C$8)^$C$11-1))</f>
        <v/>
      </c>
      <c r="I208" s="20" t="str">
        <f>IF(B208&gt;$C$11,"", H208-(J207*$C$8))</f>
        <v/>
      </c>
      <c r="J208" s="20" t="str">
        <f t="shared" si="10"/>
        <v/>
      </c>
    </row>
    <row r="209" spans="2:10" x14ac:dyDescent="0.3">
      <c r="B209" s="6">
        <v>193</v>
      </c>
      <c r="C209" s="20" t="str">
        <f t="shared" ref="C209:C272" si="11">IF(B209&gt;$C$11,"", $C$10/$C$11)</f>
        <v/>
      </c>
      <c r="D209" s="20" t="str">
        <f>IF(B209&gt;$C$11,"", F208*$C$8)</f>
        <v/>
      </c>
      <c r="E209" s="20" t="str">
        <f t="shared" ref="E209:E272" si="12">IF(B209&gt;$C$11,"", C209+D209)</f>
        <v/>
      </c>
      <c r="F209" s="20" t="str">
        <f t="shared" si="9"/>
        <v/>
      </c>
      <c r="H209" s="20" t="str">
        <f>IF(B209&gt;$C$11,"", $C$10*($C$8*(1+$C$8)^$C$11)/((1+$C$8)^$C$11-1))</f>
        <v/>
      </c>
      <c r="I209" s="20" t="str">
        <f>IF(B209&gt;$C$11,"", H209-(J208*$C$8))</f>
        <v/>
      </c>
      <c r="J209" s="20" t="str">
        <f t="shared" si="10"/>
        <v/>
      </c>
    </row>
    <row r="210" spans="2:10" x14ac:dyDescent="0.3">
      <c r="B210" s="6">
        <v>194</v>
      </c>
      <c r="C210" s="20" t="str">
        <f t="shared" si="11"/>
        <v/>
      </c>
      <c r="D210" s="20" t="str">
        <f>IF(B210&gt;$C$11,"", F209*$C$8)</f>
        <v/>
      </c>
      <c r="E210" s="20" t="str">
        <f t="shared" si="12"/>
        <v/>
      </c>
      <c r="F210" s="20" t="str">
        <f t="shared" ref="F210:F273" si="13">IF(B210&gt;$C$11,"", F209-C210)</f>
        <v/>
      </c>
      <c r="H210" s="20" t="str">
        <f>IF(B210&gt;$C$11,"", $C$10*($C$8*(1+$C$8)^$C$11)/((1+$C$8)^$C$11-1))</f>
        <v/>
      </c>
      <c r="I210" s="20" t="str">
        <f>IF(B210&gt;$C$11,"", H210-(J209*$C$8))</f>
        <v/>
      </c>
      <c r="J210" s="20" t="str">
        <f t="shared" ref="J210:J273" si="14">IF(B210&gt;$C$11,"", J209-I210)</f>
        <v/>
      </c>
    </row>
    <row r="211" spans="2:10" x14ac:dyDescent="0.3">
      <c r="B211" s="6">
        <v>195</v>
      </c>
      <c r="C211" s="20" t="str">
        <f t="shared" si="11"/>
        <v/>
      </c>
      <c r="D211" s="20" t="str">
        <f>IF(B211&gt;$C$11,"", F210*$C$8)</f>
        <v/>
      </c>
      <c r="E211" s="20" t="str">
        <f t="shared" si="12"/>
        <v/>
      </c>
      <c r="F211" s="20" t="str">
        <f t="shared" si="13"/>
        <v/>
      </c>
      <c r="H211" s="20" t="str">
        <f>IF(B211&gt;$C$11,"", $C$10*($C$8*(1+$C$8)^$C$11)/((1+$C$8)^$C$11-1))</f>
        <v/>
      </c>
      <c r="I211" s="20" t="str">
        <f>IF(B211&gt;$C$11,"", H211-(J210*$C$8))</f>
        <v/>
      </c>
      <c r="J211" s="20" t="str">
        <f t="shared" si="14"/>
        <v/>
      </c>
    </row>
    <row r="212" spans="2:10" x14ac:dyDescent="0.3">
      <c r="B212" s="6">
        <v>196</v>
      </c>
      <c r="C212" s="20" t="str">
        <f t="shared" si="11"/>
        <v/>
      </c>
      <c r="D212" s="20" t="str">
        <f>IF(B212&gt;$C$11,"", F211*$C$8)</f>
        <v/>
      </c>
      <c r="E212" s="20" t="str">
        <f t="shared" si="12"/>
        <v/>
      </c>
      <c r="F212" s="20" t="str">
        <f t="shared" si="13"/>
        <v/>
      </c>
      <c r="H212" s="20" t="str">
        <f>IF(B212&gt;$C$11,"", $C$10*($C$8*(1+$C$8)^$C$11)/((1+$C$8)^$C$11-1))</f>
        <v/>
      </c>
      <c r="I212" s="20" t="str">
        <f>IF(B212&gt;$C$11,"", H212-(J211*$C$8))</f>
        <v/>
      </c>
      <c r="J212" s="20" t="str">
        <f t="shared" si="14"/>
        <v/>
      </c>
    </row>
    <row r="213" spans="2:10" x14ac:dyDescent="0.3">
      <c r="B213" s="6">
        <v>197</v>
      </c>
      <c r="C213" s="20" t="str">
        <f t="shared" si="11"/>
        <v/>
      </c>
      <c r="D213" s="20" t="str">
        <f>IF(B213&gt;$C$11,"", F212*$C$8)</f>
        <v/>
      </c>
      <c r="E213" s="20" t="str">
        <f t="shared" si="12"/>
        <v/>
      </c>
      <c r="F213" s="20" t="str">
        <f t="shared" si="13"/>
        <v/>
      </c>
      <c r="H213" s="20" t="str">
        <f>IF(B213&gt;$C$11,"", $C$10*($C$8*(1+$C$8)^$C$11)/((1+$C$8)^$C$11-1))</f>
        <v/>
      </c>
      <c r="I213" s="20" t="str">
        <f>IF(B213&gt;$C$11,"", H213-(J212*$C$8))</f>
        <v/>
      </c>
      <c r="J213" s="20" t="str">
        <f t="shared" si="14"/>
        <v/>
      </c>
    </row>
    <row r="214" spans="2:10" x14ac:dyDescent="0.3">
      <c r="B214" s="6">
        <v>198</v>
      </c>
      <c r="C214" s="20" t="str">
        <f t="shared" si="11"/>
        <v/>
      </c>
      <c r="D214" s="20" t="str">
        <f>IF(B214&gt;$C$11,"", F213*$C$8)</f>
        <v/>
      </c>
      <c r="E214" s="20" t="str">
        <f t="shared" si="12"/>
        <v/>
      </c>
      <c r="F214" s="20" t="str">
        <f t="shared" si="13"/>
        <v/>
      </c>
      <c r="H214" s="20" t="str">
        <f>IF(B214&gt;$C$11,"", $C$10*($C$8*(1+$C$8)^$C$11)/((1+$C$8)^$C$11-1))</f>
        <v/>
      </c>
      <c r="I214" s="20" t="str">
        <f>IF(B214&gt;$C$11,"", H214-(J213*$C$8))</f>
        <v/>
      </c>
      <c r="J214" s="20" t="str">
        <f t="shared" si="14"/>
        <v/>
      </c>
    </row>
    <row r="215" spans="2:10" x14ac:dyDescent="0.3">
      <c r="B215" s="6">
        <v>199</v>
      </c>
      <c r="C215" s="20" t="str">
        <f t="shared" si="11"/>
        <v/>
      </c>
      <c r="D215" s="20" t="str">
        <f>IF(B215&gt;$C$11,"", F214*$C$8)</f>
        <v/>
      </c>
      <c r="E215" s="20" t="str">
        <f t="shared" si="12"/>
        <v/>
      </c>
      <c r="F215" s="20" t="str">
        <f t="shared" si="13"/>
        <v/>
      </c>
      <c r="H215" s="20" t="str">
        <f>IF(B215&gt;$C$11,"", $C$10*($C$8*(1+$C$8)^$C$11)/((1+$C$8)^$C$11-1))</f>
        <v/>
      </c>
      <c r="I215" s="20" t="str">
        <f>IF(B215&gt;$C$11,"", H215-(J214*$C$8))</f>
        <v/>
      </c>
      <c r="J215" s="20" t="str">
        <f t="shared" si="14"/>
        <v/>
      </c>
    </row>
    <row r="216" spans="2:10" x14ac:dyDescent="0.3">
      <c r="B216" s="6">
        <v>200</v>
      </c>
      <c r="C216" s="20" t="str">
        <f t="shared" si="11"/>
        <v/>
      </c>
      <c r="D216" s="20" t="str">
        <f>IF(B216&gt;$C$11,"", F215*$C$8)</f>
        <v/>
      </c>
      <c r="E216" s="20" t="str">
        <f t="shared" si="12"/>
        <v/>
      </c>
      <c r="F216" s="20" t="str">
        <f t="shared" si="13"/>
        <v/>
      </c>
      <c r="H216" s="20" t="str">
        <f>IF(B216&gt;$C$11,"", $C$10*($C$8*(1+$C$8)^$C$11)/((1+$C$8)^$C$11-1))</f>
        <v/>
      </c>
      <c r="I216" s="20" t="str">
        <f>IF(B216&gt;$C$11,"", H216-(J215*$C$8))</f>
        <v/>
      </c>
      <c r="J216" s="20" t="str">
        <f t="shared" si="14"/>
        <v/>
      </c>
    </row>
    <row r="217" spans="2:10" x14ac:dyDescent="0.3">
      <c r="B217" s="6">
        <v>201</v>
      </c>
      <c r="C217" s="20" t="str">
        <f t="shared" si="11"/>
        <v/>
      </c>
      <c r="D217" s="20" t="str">
        <f>IF(B217&gt;$C$11,"", F216*$C$8)</f>
        <v/>
      </c>
      <c r="E217" s="20" t="str">
        <f t="shared" si="12"/>
        <v/>
      </c>
      <c r="F217" s="20" t="str">
        <f t="shared" si="13"/>
        <v/>
      </c>
      <c r="H217" s="20" t="str">
        <f>IF(B217&gt;$C$11,"", $C$10*($C$8*(1+$C$8)^$C$11)/((1+$C$8)^$C$11-1))</f>
        <v/>
      </c>
      <c r="I217" s="20" t="str">
        <f>IF(B217&gt;$C$11,"", H217-(J216*$C$8))</f>
        <v/>
      </c>
      <c r="J217" s="20" t="str">
        <f t="shared" si="14"/>
        <v/>
      </c>
    </row>
    <row r="218" spans="2:10" x14ac:dyDescent="0.3">
      <c r="B218" s="6">
        <v>202</v>
      </c>
      <c r="C218" s="20" t="str">
        <f t="shared" si="11"/>
        <v/>
      </c>
      <c r="D218" s="20" t="str">
        <f>IF(B218&gt;$C$11,"", F217*$C$8)</f>
        <v/>
      </c>
      <c r="E218" s="20" t="str">
        <f t="shared" si="12"/>
        <v/>
      </c>
      <c r="F218" s="20" t="str">
        <f t="shared" si="13"/>
        <v/>
      </c>
      <c r="H218" s="20" t="str">
        <f>IF(B218&gt;$C$11,"", $C$10*($C$8*(1+$C$8)^$C$11)/((1+$C$8)^$C$11-1))</f>
        <v/>
      </c>
      <c r="I218" s="20" t="str">
        <f>IF(B218&gt;$C$11,"", H218-(J217*$C$8))</f>
        <v/>
      </c>
      <c r="J218" s="20" t="str">
        <f t="shared" si="14"/>
        <v/>
      </c>
    </row>
    <row r="219" spans="2:10" x14ac:dyDescent="0.3">
      <c r="B219" s="6">
        <v>203</v>
      </c>
      <c r="C219" s="20" t="str">
        <f t="shared" si="11"/>
        <v/>
      </c>
      <c r="D219" s="20" t="str">
        <f>IF(B219&gt;$C$11,"", F218*$C$8)</f>
        <v/>
      </c>
      <c r="E219" s="20" t="str">
        <f t="shared" si="12"/>
        <v/>
      </c>
      <c r="F219" s="20" t="str">
        <f t="shared" si="13"/>
        <v/>
      </c>
      <c r="H219" s="20" t="str">
        <f>IF(B219&gt;$C$11,"", $C$10*($C$8*(1+$C$8)^$C$11)/((1+$C$8)^$C$11-1))</f>
        <v/>
      </c>
      <c r="I219" s="20" t="str">
        <f>IF(B219&gt;$C$11,"", H219-(J218*$C$8))</f>
        <v/>
      </c>
      <c r="J219" s="20" t="str">
        <f t="shared" si="14"/>
        <v/>
      </c>
    </row>
    <row r="220" spans="2:10" x14ac:dyDescent="0.3">
      <c r="B220" s="6">
        <v>204</v>
      </c>
      <c r="C220" s="20" t="str">
        <f t="shared" si="11"/>
        <v/>
      </c>
      <c r="D220" s="20" t="str">
        <f>IF(B220&gt;$C$11,"", F219*$C$8)</f>
        <v/>
      </c>
      <c r="E220" s="20" t="str">
        <f t="shared" si="12"/>
        <v/>
      </c>
      <c r="F220" s="20" t="str">
        <f t="shared" si="13"/>
        <v/>
      </c>
      <c r="H220" s="20" t="str">
        <f>IF(B220&gt;$C$11,"", $C$10*($C$8*(1+$C$8)^$C$11)/((1+$C$8)^$C$11-1))</f>
        <v/>
      </c>
      <c r="I220" s="20" t="str">
        <f>IF(B220&gt;$C$11,"", H220-(J219*$C$8))</f>
        <v/>
      </c>
      <c r="J220" s="20" t="str">
        <f t="shared" si="14"/>
        <v/>
      </c>
    </row>
    <row r="221" spans="2:10" x14ac:dyDescent="0.3">
      <c r="B221" s="6">
        <v>205</v>
      </c>
      <c r="C221" s="20" t="str">
        <f t="shared" si="11"/>
        <v/>
      </c>
      <c r="D221" s="20" t="str">
        <f>IF(B221&gt;$C$11,"", F220*$C$8)</f>
        <v/>
      </c>
      <c r="E221" s="20" t="str">
        <f t="shared" si="12"/>
        <v/>
      </c>
      <c r="F221" s="20" t="str">
        <f t="shared" si="13"/>
        <v/>
      </c>
      <c r="H221" s="20" t="str">
        <f>IF(B221&gt;$C$11,"", $C$10*($C$8*(1+$C$8)^$C$11)/((1+$C$8)^$C$11-1))</f>
        <v/>
      </c>
      <c r="I221" s="20" t="str">
        <f>IF(B221&gt;$C$11,"", H221-(J220*$C$8))</f>
        <v/>
      </c>
      <c r="J221" s="20" t="str">
        <f t="shared" si="14"/>
        <v/>
      </c>
    </row>
    <row r="222" spans="2:10" x14ac:dyDescent="0.3">
      <c r="B222" s="6">
        <v>206</v>
      </c>
      <c r="C222" s="20" t="str">
        <f t="shared" si="11"/>
        <v/>
      </c>
      <c r="D222" s="20" t="str">
        <f>IF(B222&gt;$C$11,"", F221*$C$8)</f>
        <v/>
      </c>
      <c r="E222" s="20" t="str">
        <f t="shared" si="12"/>
        <v/>
      </c>
      <c r="F222" s="20" t="str">
        <f t="shared" si="13"/>
        <v/>
      </c>
      <c r="H222" s="20" t="str">
        <f>IF(B222&gt;$C$11,"", $C$10*($C$8*(1+$C$8)^$C$11)/((1+$C$8)^$C$11-1))</f>
        <v/>
      </c>
      <c r="I222" s="20" t="str">
        <f>IF(B222&gt;$C$11,"", H222-(J221*$C$8))</f>
        <v/>
      </c>
      <c r="J222" s="20" t="str">
        <f t="shared" si="14"/>
        <v/>
      </c>
    </row>
    <row r="223" spans="2:10" x14ac:dyDescent="0.3">
      <c r="B223" s="6">
        <v>207</v>
      </c>
      <c r="C223" s="20" t="str">
        <f t="shared" si="11"/>
        <v/>
      </c>
      <c r="D223" s="20" t="str">
        <f>IF(B223&gt;$C$11,"", F222*$C$8)</f>
        <v/>
      </c>
      <c r="E223" s="20" t="str">
        <f t="shared" si="12"/>
        <v/>
      </c>
      <c r="F223" s="20" t="str">
        <f t="shared" si="13"/>
        <v/>
      </c>
      <c r="H223" s="20" t="str">
        <f>IF(B223&gt;$C$11,"", $C$10*($C$8*(1+$C$8)^$C$11)/((1+$C$8)^$C$11-1))</f>
        <v/>
      </c>
      <c r="I223" s="20" t="str">
        <f>IF(B223&gt;$C$11,"", H223-(J222*$C$8))</f>
        <v/>
      </c>
      <c r="J223" s="20" t="str">
        <f t="shared" si="14"/>
        <v/>
      </c>
    </row>
    <row r="224" spans="2:10" x14ac:dyDescent="0.3">
      <c r="B224" s="6">
        <v>208</v>
      </c>
      <c r="C224" s="20" t="str">
        <f t="shared" si="11"/>
        <v/>
      </c>
      <c r="D224" s="20" t="str">
        <f>IF(B224&gt;$C$11,"", F223*$C$8)</f>
        <v/>
      </c>
      <c r="E224" s="20" t="str">
        <f t="shared" si="12"/>
        <v/>
      </c>
      <c r="F224" s="20" t="str">
        <f t="shared" si="13"/>
        <v/>
      </c>
      <c r="H224" s="20" t="str">
        <f>IF(B224&gt;$C$11,"", $C$10*($C$8*(1+$C$8)^$C$11)/((1+$C$8)^$C$11-1))</f>
        <v/>
      </c>
      <c r="I224" s="20" t="str">
        <f>IF(B224&gt;$C$11,"", H224-(J223*$C$8))</f>
        <v/>
      </c>
      <c r="J224" s="20" t="str">
        <f t="shared" si="14"/>
        <v/>
      </c>
    </row>
    <row r="225" spans="2:10" x14ac:dyDescent="0.3">
      <c r="B225" s="6">
        <v>209</v>
      </c>
      <c r="C225" s="20" t="str">
        <f t="shared" si="11"/>
        <v/>
      </c>
      <c r="D225" s="20" t="str">
        <f>IF(B225&gt;$C$11,"", F224*$C$8)</f>
        <v/>
      </c>
      <c r="E225" s="20" t="str">
        <f t="shared" si="12"/>
        <v/>
      </c>
      <c r="F225" s="20" t="str">
        <f t="shared" si="13"/>
        <v/>
      </c>
      <c r="H225" s="20" t="str">
        <f>IF(B225&gt;$C$11,"", $C$10*($C$8*(1+$C$8)^$C$11)/((1+$C$8)^$C$11-1))</f>
        <v/>
      </c>
      <c r="I225" s="20" t="str">
        <f>IF(B225&gt;$C$11,"", H225-(J224*$C$8))</f>
        <v/>
      </c>
      <c r="J225" s="20" t="str">
        <f t="shared" si="14"/>
        <v/>
      </c>
    </row>
    <row r="226" spans="2:10" x14ac:dyDescent="0.3">
      <c r="B226" s="6">
        <v>210</v>
      </c>
      <c r="C226" s="20" t="str">
        <f t="shared" si="11"/>
        <v/>
      </c>
      <c r="D226" s="20" t="str">
        <f>IF(B226&gt;$C$11,"", F225*$C$8)</f>
        <v/>
      </c>
      <c r="E226" s="20" t="str">
        <f t="shared" si="12"/>
        <v/>
      </c>
      <c r="F226" s="20" t="str">
        <f t="shared" si="13"/>
        <v/>
      </c>
      <c r="H226" s="20" t="str">
        <f>IF(B226&gt;$C$11,"", $C$10*($C$8*(1+$C$8)^$C$11)/((1+$C$8)^$C$11-1))</f>
        <v/>
      </c>
      <c r="I226" s="20" t="str">
        <f>IF(B226&gt;$C$11,"", H226-(J225*$C$8))</f>
        <v/>
      </c>
      <c r="J226" s="20" t="str">
        <f t="shared" si="14"/>
        <v/>
      </c>
    </row>
    <row r="227" spans="2:10" x14ac:dyDescent="0.3">
      <c r="B227" s="6">
        <v>211</v>
      </c>
      <c r="C227" s="20" t="str">
        <f t="shared" si="11"/>
        <v/>
      </c>
      <c r="D227" s="20" t="str">
        <f>IF(B227&gt;$C$11,"", F226*$C$8)</f>
        <v/>
      </c>
      <c r="E227" s="20" t="str">
        <f t="shared" si="12"/>
        <v/>
      </c>
      <c r="F227" s="20" t="str">
        <f t="shared" si="13"/>
        <v/>
      </c>
      <c r="H227" s="20" t="str">
        <f>IF(B227&gt;$C$11,"", $C$10*($C$8*(1+$C$8)^$C$11)/((1+$C$8)^$C$11-1))</f>
        <v/>
      </c>
      <c r="I227" s="20" t="str">
        <f>IF(B227&gt;$C$11,"", H227-(J226*$C$8))</f>
        <v/>
      </c>
      <c r="J227" s="20" t="str">
        <f t="shared" si="14"/>
        <v/>
      </c>
    </row>
    <row r="228" spans="2:10" x14ac:dyDescent="0.3">
      <c r="B228" s="6">
        <v>212</v>
      </c>
      <c r="C228" s="20" t="str">
        <f t="shared" si="11"/>
        <v/>
      </c>
      <c r="D228" s="20" t="str">
        <f>IF(B228&gt;$C$11,"", F227*$C$8)</f>
        <v/>
      </c>
      <c r="E228" s="20" t="str">
        <f t="shared" si="12"/>
        <v/>
      </c>
      <c r="F228" s="20" t="str">
        <f t="shared" si="13"/>
        <v/>
      </c>
      <c r="H228" s="20" t="str">
        <f>IF(B228&gt;$C$11,"", $C$10*($C$8*(1+$C$8)^$C$11)/((1+$C$8)^$C$11-1))</f>
        <v/>
      </c>
      <c r="I228" s="20" t="str">
        <f>IF(B228&gt;$C$11,"", H228-(J227*$C$8))</f>
        <v/>
      </c>
      <c r="J228" s="20" t="str">
        <f t="shared" si="14"/>
        <v/>
      </c>
    </row>
    <row r="229" spans="2:10" x14ac:dyDescent="0.3">
      <c r="B229" s="6">
        <v>213</v>
      </c>
      <c r="C229" s="20" t="str">
        <f t="shared" si="11"/>
        <v/>
      </c>
      <c r="D229" s="20" t="str">
        <f>IF(B229&gt;$C$11,"", F228*$C$8)</f>
        <v/>
      </c>
      <c r="E229" s="20" t="str">
        <f t="shared" si="12"/>
        <v/>
      </c>
      <c r="F229" s="20" t="str">
        <f t="shared" si="13"/>
        <v/>
      </c>
      <c r="H229" s="20" t="str">
        <f>IF(B229&gt;$C$11,"", $C$10*($C$8*(1+$C$8)^$C$11)/((1+$C$8)^$C$11-1))</f>
        <v/>
      </c>
      <c r="I229" s="20" t="str">
        <f>IF(B229&gt;$C$11,"", H229-(J228*$C$8))</f>
        <v/>
      </c>
      <c r="J229" s="20" t="str">
        <f t="shared" si="14"/>
        <v/>
      </c>
    </row>
    <row r="230" spans="2:10" x14ac:dyDescent="0.3">
      <c r="B230" s="6">
        <v>214</v>
      </c>
      <c r="C230" s="20" t="str">
        <f t="shared" si="11"/>
        <v/>
      </c>
      <c r="D230" s="20" t="str">
        <f>IF(B230&gt;$C$11,"", F229*$C$8)</f>
        <v/>
      </c>
      <c r="E230" s="20" t="str">
        <f t="shared" si="12"/>
        <v/>
      </c>
      <c r="F230" s="20" t="str">
        <f t="shared" si="13"/>
        <v/>
      </c>
      <c r="H230" s="20" t="str">
        <f>IF(B230&gt;$C$11,"", $C$10*($C$8*(1+$C$8)^$C$11)/((1+$C$8)^$C$11-1))</f>
        <v/>
      </c>
      <c r="I230" s="20" t="str">
        <f>IF(B230&gt;$C$11,"", H230-(J229*$C$8))</f>
        <v/>
      </c>
      <c r="J230" s="20" t="str">
        <f t="shared" si="14"/>
        <v/>
      </c>
    </row>
    <row r="231" spans="2:10" x14ac:dyDescent="0.3">
      <c r="B231" s="6">
        <v>215</v>
      </c>
      <c r="C231" s="20" t="str">
        <f t="shared" si="11"/>
        <v/>
      </c>
      <c r="D231" s="20" t="str">
        <f>IF(B231&gt;$C$11,"", F230*$C$8)</f>
        <v/>
      </c>
      <c r="E231" s="20" t="str">
        <f t="shared" si="12"/>
        <v/>
      </c>
      <c r="F231" s="20" t="str">
        <f t="shared" si="13"/>
        <v/>
      </c>
      <c r="H231" s="20" t="str">
        <f>IF(B231&gt;$C$11,"", $C$10*($C$8*(1+$C$8)^$C$11)/((1+$C$8)^$C$11-1))</f>
        <v/>
      </c>
      <c r="I231" s="20" t="str">
        <f>IF(B231&gt;$C$11,"", H231-(J230*$C$8))</f>
        <v/>
      </c>
      <c r="J231" s="20" t="str">
        <f t="shared" si="14"/>
        <v/>
      </c>
    </row>
    <row r="232" spans="2:10" x14ac:dyDescent="0.3">
      <c r="B232" s="6">
        <v>216</v>
      </c>
      <c r="C232" s="20" t="str">
        <f t="shared" si="11"/>
        <v/>
      </c>
      <c r="D232" s="20" t="str">
        <f>IF(B232&gt;$C$11,"", F231*$C$8)</f>
        <v/>
      </c>
      <c r="E232" s="20" t="str">
        <f t="shared" si="12"/>
        <v/>
      </c>
      <c r="F232" s="20" t="str">
        <f t="shared" si="13"/>
        <v/>
      </c>
      <c r="H232" s="20" t="str">
        <f>IF(B232&gt;$C$11,"", $C$10*($C$8*(1+$C$8)^$C$11)/((1+$C$8)^$C$11-1))</f>
        <v/>
      </c>
      <c r="I232" s="20" t="str">
        <f>IF(B232&gt;$C$11,"", H232-(J231*$C$8))</f>
        <v/>
      </c>
      <c r="J232" s="20" t="str">
        <f t="shared" si="14"/>
        <v/>
      </c>
    </row>
    <row r="233" spans="2:10" x14ac:dyDescent="0.3">
      <c r="B233" s="6">
        <v>217</v>
      </c>
      <c r="C233" s="20" t="str">
        <f t="shared" si="11"/>
        <v/>
      </c>
      <c r="D233" s="20" t="str">
        <f>IF(B233&gt;$C$11,"", F232*$C$8)</f>
        <v/>
      </c>
      <c r="E233" s="20" t="str">
        <f t="shared" si="12"/>
        <v/>
      </c>
      <c r="F233" s="20" t="str">
        <f t="shared" si="13"/>
        <v/>
      </c>
      <c r="H233" s="20" t="str">
        <f>IF(B233&gt;$C$11,"", $C$10*($C$8*(1+$C$8)^$C$11)/((1+$C$8)^$C$11-1))</f>
        <v/>
      </c>
      <c r="I233" s="20" t="str">
        <f>IF(B233&gt;$C$11,"", H233-(J232*$C$8))</f>
        <v/>
      </c>
      <c r="J233" s="20" t="str">
        <f t="shared" si="14"/>
        <v/>
      </c>
    </row>
    <row r="234" spans="2:10" x14ac:dyDescent="0.3">
      <c r="B234" s="6">
        <v>218</v>
      </c>
      <c r="C234" s="20" t="str">
        <f t="shared" si="11"/>
        <v/>
      </c>
      <c r="D234" s="20" t="str">
        <f>IF(B234&gt;$C$11,"", F233*$C$8)</f>
        <v/>
      </c>
      <c r="E234" s="20" t="str">
        <f t="shared" si="12"/>
        <v/>
      </c>
      <c r="F234" s="20" t="str">
        <f t="shared" si="13"/>
        <v/>
      </c>
      <c r="H234" s="20" t="str">
        <f>IF(B234&gt;$C$11,"", $C$10*($C$8*(1+$C$8)^$C$11)/((1+$C$8)^$C$11-1))</f>
        <v/>
      </c>
      <c r="I234" s="20" t="str">
        <f>IF(B234&gt;$C$11,"", H234-(J233*$C$8))</f>
        <v/>
      </c>
      <c r="J234" s="20" t="str">
        <f t="shared" si="14"/>
        <v/>
      </c>
    </row>
    <row r="235" spans="2:10" x14ac:dyDescent="0.3">
      <c r="B235" s="6">
        <v>219</v>
      </c>
      <c r="C235" s="20" t="str">
        <f t="shared" si="11"/>
        <v/>
      </c>
      <c r="D235" s="20" t="str">
        <f>IF(B235&gt;$C$11,"", F234*$C$8)</f>
        <v/>
      </c>
      <c r="E235" s="20" t="str">
        <f t="shared" si="12"/>
        <v/>
      </c>
      <c r="F235" s="20" t="str">
        <f t="shared" si="13"/>
        <v/>
      </c>
      <c r="H235" s="20" t="str">
        <f>IF(B235&gt;$C$11,"", $C$10*($C$8*(1+$C$8)^$C$11)/((1+$C$8)^$C$11-1))</f>
        <v/>
      </c>
      <c r="I235" s="20" t="str">
        <f>IF(B235&gt;$C$11,"", H235-(J234*$C$8))</f>
        <v/>
      </c>
      <c r="J235" s="20" t="str">
        <f t="shared" si="14"/>
        <v/>
      </c>
    </row>
    <row r="236" spans="2:10" x14ac:dyDescent="0.3">
      <c r="B236" s="6">
        <v>220</v>
      </c>
      <c r="C236" s="20" t="str">
        <f t="shared" si="11"/>
        <v/>
      </c>
      <c r="D236" s="20" t="str">
        <f>IF(B236&gt;$C$11,"", F235*$C$8)</f>
        <v/>
      </c>
      <c r="E236" s="20" t="str">
        <f t="shared" si="12"/>
        <v/>
      </c>
      <c r="F236" s="20" t="str">
        <f t="shared" si="13"/>
        <v/>
      </c>
      <c r="H236" s="20" t="str">
        <f>IF(B236&gt;$C$11,"", $C$10*($C$8*(1+$C$8)^$C$11)/((1+$C$8)^$C$11-1))</f>
        <v/>
      </c>
      <c r="I236" s="20" t="str">
        <f>IF(B236&gt;$C$11,"", H236-(J235*$C$8))</f>
        <v/>
      </c>
      <c r="J236" s="20" t="str">
        <f t="shared" si="14"/>
        <v/>
      </c>
    </row>
    <row r="237" spans="2:10" x14ac:dyDescent="0.3">
      <c r="B237" s="6">
        <v>221</v>
      </c>
      <c r="C237" s="20" t="str">
        <f t="shared" si="11"/>
        <v/>
      </c>
      <c r="D237" s="20" t="str">
        <f>IF(B237&gt;$C$11,"", F236*$C$8)</f>
        <v/>
      </c>
      <c r="E237" s="20" t="str">
        <f t="shared" si="12"/>
        <v/>
      </c>
      <c r="F237" s="20" t="str">
        <f t="shared" si="13"/>
        <v/>
      </c>
      <c r="H237" s="20" t="str">
        <f>IF(B237&gt;$C$11,"", $C$10*($C$8*(1+$C$8)^$C$11)/((1+$C$8)^$C$11-1))</f>
        <v/>
      </c>
      <c r="I237" s="20" t="str">
        <f>IF(B237&gt;$C$11,"", H237-(J236*$C$8))</f>
        <v/>
      </c>
      <c r="J237" s="20" t="str">
        <f t="shared" si="14"/>
        <v/>
      </c>
    </row>
    <row r="238" spans="2:10" x14ac:dyDescent="0.3">
      <c r="B238" s="6">
        <v>222</v>
      </c>
      <c r="C238" s="20" t="str">
        <f t="shared" si="11"/>
        <v/>
      </c>
      <c r="D238" s="20" t="str">
        <f>IF(B238&gt;$C$11,"", F237*$C$8)</f>
        <v/>
      </c>
      <c r="E238" s="20" t="str">
        <f t="shared" si="12"/>
        <v/>
      </c>
      <c r="F238" s="20" t="str">
        <f t="shared" si="13"/>
        <v/>
      </c>
      <c r="H238" s="20" t="str">
        <f>IF(B238&gt;$C$11,"", $C$10*($C$8*(1+$C$8)^$C$11)/((1+$C$8)^$C$11-1))</f>
        <v/>
      </c>
      <c r="I238" s="20" t="str">
        <f>IF(B238&gt;$C$11,"", H238-(J237*$C$8))</f>
        <v/>
      </c>
      <c r="J238" s="20" t="str">
        <f t="shared" si="14"/>
        <v/>
      </c>
    </row>
    <row r="239" spans="2:10" x14ac:dyDescent="0.3">
      <c r="B239" s="6">
        <v>223</v>
      </c>
      <c r="C239" s="20" t="str">
        <f t="shared" si="11"/>
        <v/>
      </c>
      <c r="D239" s="20" t="str">
        <f>IF(B239&gt;$C$11,"", F238*$C$8)</f>
        <v/>
      </c>
      <c r="E239" s="20" t="str">
        <f t="shared" si="12"/>
        <v/>
      </c>
      <c r="F239" s="20" t="str">
        <f t="shared" si="13"/>
        <v/>
      </c>
      <c r="H239" s="20" t="str">
        <f>IF(B239&gt;$C$11,"", $C$10*($C$8*(1+$C$8)^$C$11)/((1+$C$8)^$C$11-1))</f>
        <v/>
      </c>
      <c r="I239" s="20" t="str">
        <f>IF(B239&gt;$C$11,"", H239-(J238*$C$8))</f>
        <v/>
      </c>
      <c r="J239" s="20" t="str">
        <f t="shared" si="14"/>
        <v/>
      </c>
    </row>
    <row r="240" spans="2:10" x14ac:dyDescent="0.3">
      <c r="B240" s="6">
        <v>224</v>
      </c>
      <c r="C240" s="20" t="str">
        <f t="shared" si="11"/>
        <v/>
      </c>
      <c r="D240" s="20" t="str">
        <f>IF(B240&gt;$C$11,"", F239*$C$8)</f>
        <v/>
      </c>
      <c r="E240" s="20" t="str">
        <f t="shared" si="12"/>
        <v/>
      </c>
      <c r="F240" s="20" t="str">
        <f t="shared" si="13"/>
        <v/>
      </c>
      <c r="H240" s="20" t="str">
        <f>IF(B240&gt;$C$11,"", $C$10*($C$8*(1+$C$8)^$C$11)/((1+$C$8)^$C$11-1))</f>
        <v/>
      </c>
      <c r="I240" s="20" t="str">
        <f>IF(B240&gt;$C$11,"", H240-(J239*$C$8))</f>
        <v/>
      </c>
      <c r="J240" s="20" t="str">
        <f t="shared" si="14"/>
        <v/>
      </c>
    </row>
    <row r="241" spans="2:10" x14ac:dyDescent="0.3">
      <c r="B241" s="6">
        <v>225</v>
      </c>
      <c r="C241" s="20" t="str">
        <f t="shared" si="11"/>
        <v/>
      </c>
      <c r="D241" s="20" t="str">
        <f>IF(B241&gt;$C$11,"", F240*$C$8)</f>
        <v/>
      </c>
      <c r="E241" s="20" t="str">
        <f t="shared" si="12"/>
        <v/>
      </c>
      <c r="F241" s="20" t="str">
        <f t="shared" si="13"/>
        <v/>
      </c>
      <c r="H241" s="20" t="str">
        <f>IF(B241&gt;$C$11,"", $C$10*($C$8*(1+$C$8)^$C$11)/((1+$C$8)^$C$11-1))</f>
        <v/>
      </c>
      <c r="I241" s="20" t="str">
        <f>IF(B241&gt;$C$11,"", H241-(J240*$C$8))</f>
        <v/>
      </c>
      <c r="J241" s="20" t="str">
        <f t="shared" si="14"/>
        <v/>
      </c>
    </row>
    <row r="242" spans="2:10" x14ac:dyDescent="0.3">
      <c r="B242" s="6">
        <v>226</v>
      </c>
      <c r="C242" s="20" t="str">
        <f t="shared" si="11"/>
        <v/>
      </c>
      <c r="D242" s="20" t="str">
        <f>IF(B242&gt;$C$11,"", F241*$C$8)</f>
        <v/>
      </c>
      <c r="E242" s="20" t="str">
        <f t="shared" si="12"/>
        <v/>
      </c>
      <c r="F242" s="20" t="str">
        <f t="shared" si="13"/>
        <v/>
      </c>
      <c r="H242" s="20" t="str">
        <f>IF(B242&gt;$C$11,"", $C$10*($C$8*(1+$C$8)^$C$11)/((1+$C$8)^$C$11-1))</f>
        <v/>
      </c>
      <c r="I242" s="20" t="str">
        <f>IF(B242&gt;$C$11,"", H242-(J241*$C$8))</f>
        <v/>
      </c>
      <c r="J242" s="20" t="str">
        <f t="shared" si="14"/>
        <v/>
      </c>
    </row>
    <row r="243" spans="2:10" x14ac:dyDescent="0.3">
      <c r="B243" s="6">
        <v>227</v>
      </c>
      <c r="C243" s="20" t="str">
        <f t="shared" si="11"/>
        <v/>
      </c>
      <c r="D243" s="20" t="str">
        <f>IF(B243&gt;$C$11,"", F242*$C$8)</f>
        <v/>
      </c>
      <c r="E243" s="20" t="str">
        <f t="shared" si="12"/>
        <v/>
      </c>
      <c r="F243" s="20" t="str">
        <f t="shared" si="13"/>
        <v/>
      </c>
      <c r="H243" s="20" t="str">
        <f>IF(B243&gt;$C$11,"", $C$10*($C$8*(1+$C$8)^$C$11)/((1+$C$8)^$C$11-1))</f>
        <v/>
      </c>
      <c r="I243" s="20" t="str">
        <f>IF(B243&gt;$C$11,"", H243-(J242*$C$8))</f>
        <v/>
      </c>
      <c r="J243" s="20" t="str">
        <f t="shared" si="14"/>
        <v/>
      </c>
    </row>
    <row r="244" spans="2:10" x14ac:dyDescent="0.3">
      <c r="B244" s="6">
        <v>228</v>
      </c>
      <c r="C244" s="20" t="str">
        <f t="shared" si="11"/>
        <v/>
      </c>
      <c r="D244" s="20" t="str">
        <f>IF(B244&gt;$C$11,"", F243*$C$8)</f>
        <v/>
      </c>
      <c r="E244" s="20" t="str">
        <f t="shared" si="12"/>
        <v/>
      </c>
      <c r="F244" s="20" t="str">
        <f t="shared" si="13"/>
        <v/>
      </c>
      <c r="H244" s="20" t="str">
        <f>IF(B244&gt;$C$11,"", $C$10*($C$8*(1+$C$8)^$C$11)/((1+$C$8)^$C$11-1))</f>
        <v/>
      </c>
      <c r="I244" s="20" t="str">
        <f>IF(B244&gt;$C$11,"", H244-(J243*$C$8))</f>
        <v/>
      </c>
      <c r="J244" s="20" t="str">
        <f t="shared" si="14"/>
        <v/>
      </c>
    </row>
    <row r="245" spans="2:10" x14ac:dyDescent="0.3">
      <c r="B245" s="6">
        <v>229</v>
      </c>
      <c r="C245" s="20" t="str">
        <f t="shared" si="11"/>
        <v/>
      </c>
      <c r="D245" s="20" t="str">
        <f>IF(B245&gt;$C$11,"", F244*$C$8)</f>
        <v/>
      </c>
      <c r="E245" s="20" t="str">
        <f t="shared" si="12"/>
        <v/>
      </c>
      <c r="F245" s="20" t="str">
        <f t="shared" si="13"/>
        <v/>
      </c>
      <c r="H245" s="20" t="str">
        <f>IF(B245&gt;$C$11,"", $C$10*($C$8*(1+$C$8)^$C$11)/((1+$C$8)^$C$11-1))</f>
        <v/>
      </c>
      <c r="I245" s="20" t="str">
        <f>IF(B245&gt;$C$11,"", H245-(J244*$C$8))</f>
        <v/>
      </c>
      <c r="J245" s="20" t="str">
        <f t="shared" si="14"/>
        <v/>
      </c>
    </row>
    <row r="246" spans="2:10" x14ac:dyDescent="0.3">
      <c r="B246" s="6">
        <v>230</v>
      </c>
      <c r="C246" s="20" t="str">
        <f t="shared" si="11"/>
        <v/>
      </c>
      <c r="D246" s="20" t="str">
        <f>IF(B246&gt;$C$11,"", F245*$C$8)</f>
        <v/>
      </c>
      <c r="E246" s="20" t="str">
        <f t="shared" si="12"/>
        <v/>
      </c>
      <c r="F246" s="20" t="str">
        <f t="shared" si="13"/>
        <v/>
      </c>
      <c r="H246" s="20" t="str">
        <f>IF(B246&gt;$C$11,"", $C$10*($C$8*(1+$C$8)^$C$11)/((1+$C$8)^$C$11-1))</f>
        <v/>
      </c>
      <c r="I246" s="20" t="str">
        <f>IF(B246&gt;$C$11,"", H246-(J245*$C$8))</f>
        <v/>
      </c>
      <c r="J246" s="20" t="str">
        <f t="shared" si="14"/>
        <v/>
      </c>
    </row>
    <row r="247" spans="2:10" x14ac:dyDescent="0.3">
      <c r="B247" s="6">
        <v>231</v>
      </c>
      <c r="C247" s="20" t="str">
        <f t="shared" si="11"/>
        <v/>
      </c>
      <c r="D247" s="20" t="str">
        <f>IF(B247&gt;$C$11,"", F246*$C$8)</f>
        <v/>
      </c>
      <c r="E247" s="20" t="str">
        <f t="shared" si="12"/>
        <v/>
      </c>
      <c r="F247" s="20" t="str">
        <f t="shared" si="13"/>
        <v/>
      </c>
      <c r="H247" s="20" t="str">
        <f>IF(B247&gt;$C$11,"", $C$10*($C$8*(1+$C$8)^$C$11)/((1+$C$8)^$C$11-1))</f>
        <v/>
      </c>
      <c r="I247" s="20" t="str">
        <f>IF(B247&gt;$C$11,"", H247-(J246*$C$8))</f>
        <v/>
      </c>
      <c r="J247" s="20" t="str">
        <f t="shared" si="14"/>
        <v/>
      </c>
    </row>
    <row r="248" spans="2:10" x14ac:dyDescent="0.3">
      <c r="B248" s="6">
        <v>232</v>
      </c>
      <c r="C248" s="20" t="str">
        <f t="shared" si="11"/>
        <v/>
      </c>
      <c r="D248" s="20" t="str">
        <f>IF(B248&gt;$C$11,"", F247*$C$8)</f>
        <v/>
      </c>
      <c r="E248" s="20" t="str">
        <f t="shared" si="12"/>
        <v/>
      </c>
      <c r="F248" s="20" t="str">
        <f t="shared" si="13"/>
        <v/>
      </c>
      <c r="H248" s="20" t="str">
        <f>IF(B248&gt;$C$11,"", $C$10*($C$8*(1+$C$8)^$C$11)/((1+$C$8)^$C$11-1))</f>
        <v/>
      </c>
      <c r="I248" s="20" t="str">
        <f>IF(B248&gt;$C$11,"", H248-(J247*$C$8))</f>
        <v/>
      </c>
      <c r="J248" s="20" t="str">
        <f t="shared" si="14"/>
        <v/>
      </c>
    </row>
    <row r="249" spans="2:10" x14ac:dyDescent="0.3">
      <c r="B249" s="6">
        <v>233</v>
      </c>
      <c r="C249" s="20" t="str">
        <f t="shared" si="11"/>
        <v/>
      </c>
      <c r="D249" s="20" t="str">
        <f>IF(B249&gt;$C$11,"", F248*$C$8)</f>
        <v/>
      </c>
      <c r="E249" s="20" t="str">
        <f t="shared" si="12"/>
        <v/>
      </c>
      <c r="F249" s="20" t="str">
        <f t="shared" si="13"/>
        <v/>
      </c>
      <c r="H249" s="20" t="str">
        <f>IF(B249&gt;$C$11,"", $C$10*($C$8*(1+$C$8)^$C$11)/((1+$C$8)^$C$11-1))</f>
        <v/>
      </c>
      <c r="I249" s="20" t="str">
        <f>IF(B249&gt;$C$11,"", H249-(J248*$C$8))</f>
        <v/>
      </c>
      <c r="J249" s="20" t="str">
        <f t="shared" si="14"/>
        <v/>
      </c>
    </row>
    <row r="250" spans="2:10" x14ac:dyDescent="0.3">
      <c r="B250" s="6">
        <v>234</v>
      </c>
      <c r="C250" s="20" t="str">
        <f t="shared" si="11"/>
        <v/>
      </c>
      <c r="D250" s="20" t="str">
        <f>IF(B250&gt;$C$11,"", F249*$C$8)</f>
        <v/>
      </c>
      <c r="E250" s="20" t="str">
        <f t="shared" si="12"/>
        <v/>
      </c>
      <c r="F250" s="20" t="str">
        <f t="shared" si="13"/>
        <v/>
      </c>
      <c r="H250" s="20" t="str">
        <f>IF(B250&gt;$C$11,"", $C$10*($C$8*(1+$C$8)^$C$11)/((1+$C$8)^$C$11-1))</f>
        <v/>
      </c>
      <c r="I250" s="20" t="str">
        <f>IF(B250&gt;$C$11,"", H250-(J249*$C$8))</f>
        <v/>
      </c>
      <c r="J250" s="20" t="str">
        <f t="shared" si="14"/>
        <v/>
      </c>
    </row>
    <row r="251" spans="2:10" x14ac:dyDescent="0.3">
      <c r="B251" s="6">
        <v>235</v>
      </c>
      <c r="C251" s="20" t="str">
        <f t="shared" si="11"/>
        <v/>
      </c>
      <c r="D251" s="20" t="str">
        <f>IF(B251&gt;$C$11,"", F250*$C$8)</f>
        <v/>
      </c>
      <c r="E251" s="20" t="str">
        <f t="shared" si="12"/>
        <v/>
      </c>
      <c r="F251" s="20" t="str">
        <f t="shared" si="13"/>
        <v/>
      </c>
      <c r="H251" s="20" t="str">
        <f>IF(B251&gt;$C$11,"", $C$10*($C$8*(1+$C$8)^$C$11)/((1+$C$8)^$C$11-1))</f>
        <v/>
      </c>
      <c r="I251" s="20" t="str">
        <f>IF(B251&gt;$C$11,"", H251-(J250*$C$8))</f>
        <v/>
      </c>
      <c r="J251" s="20" t="str">
        <f t="shared" si="14"/>
        <v/>
      </c>
    </row>
    <row r="252" spans="2:10" x14ac:dyDescent="0.3">
      <c r="B252" s="6">
        <v>236</v>
      </c>
      <c r="C252" s="20" t="str">
        <f t="shared" si="11"/>
        <v/>
      </c>
      <c r="D252" s="20" t="str">
        <f>IF(B252&gt;$C$11,"", F251*$C$8)</f>
        <v/>
      </c>
      <c r="E252" s="20" t="str">
        <f t="shared" si="12"/>
        <v/>
      </c>
      <c r="F252" s="20" t="str">
        <f t="shared" si="13"/>
        <v/>
      </c>
      <c r="H252" s="20" t="str">
        <f>IF(B252&gt;$C$11,"", $C$10*($C$8*(1+$C$8)^$C$11)/((1+$C$8)^$C$11-1))</f>
        <v/>
      </c>
      <c r="I252" s="20" t="str">
        <f>IF(B252&gt;$C$11,"", H252-(J251*$C$8))</f>
        <v/>
      </c>
      <c r="J252" s="20" t="str">
        <f t="shared" si="14"/>
        <v/>
      </c>
    </row>
    <row r="253" spans="2:10" x14ac:dyDescent="0.3">
      <c r="B253" s="6">
        <v>237</v>
      </c>
      <c r="C253" s="20" t="str">
        <f t="shared" si="11"/>
        <v/>
      </c>
      <c r="D253" s="20" t="str">
        <f>IF(B253&gt;$C$11,"", F252*$C$8)</f>
        <v/>
      </c>
      <c r="E253" s="20" t="str">
        <f t="shared" si="12"/>
        <v/>
      </c>
      <c r="F253" s="20" t="str">
        <f t="shared" si="13"/>
        <v/>
      </c>
      <c r="H253" s="20" t="str">
        <f>IF(B253&gt;$C$11,"", $C$10*($C$8*(1+$C$8)^$C$11)/((1+$C$8)^$C$11-1))</f>
        <v/>
      </c>
      <c r="I253" s="20" t="str">
        <f>IF(B253&gt;$C$11,"", H253-(J252*$C$8))</f>
        <v/>
      </c>
      <c r="J253" s="20" t="str">
        <f t="shared" si="14"/>
        <v/>
      </c>
    </row>
    <row r="254" spans="2:10" x14ac:dyDescent="0.3">
      <c r="B254" s="6">
        <v>238</v>
      </c>
      <c r="C254" s="20" t="str">
        <f t="shared" si="11"/>
        <v/>
      </c>
      <c r="D254" s="20" t="str">
        <f>IF(B254&gt;$C$11,"", F253*$C$8)</f>
        <v/>
      </c>
      <c r="E254" s="20" t="str">
        <f t="shared" si="12"/>
        <v/>
      </c>
      <c r="F254" s="20" t="str">
        <f t="shared" si="13"/>
        <v/>
      </c>
      <c r="H254" s="20" t="str">
        <f>IF(B254&gt;$C$11,"", $C$10*($C$8*(1+$C$8)^$C$11)/((1+$C$8)^$C$11-1))</f>
        <v/>
      </c>
      <c r="I254" s="20" t="str">
        <f>IF(B254&gt;$C$11,"", H254-(J253*$C$8))</f>
        <v/>
      </c>
      <c r="J254" s="20" t="str">
        <f t="shared" si="14"/>
        <v/>
      </c>
    </row>
    <row r="255" spans="2:10" x14ac:dyDescent="0.3">
      <c r="B255" s="6">
        <v>239</v>
      </c>
      <c r="C255" s="20" t="str">
        <f t="shared" si="11"/>
        <v/>
      </c>
      <c r="D255" s="20" t="str">
        <f>IF(B255&gt;$C$11,"", F254*$C$8)</f>
        <v/>
      </c>
      <c r="E255" s="20" t="str">
        <f t="shared" si="12"/>
        <v/>
      </c>
      <c r="F255" s="20" t="str">
        <f t="shared" si="13"/>
        <v/>
      </c>
      <c r="H255" s="20" t="str">
        <f>IF(B255&gt;$C$11,"", $C$10*($C$8*(1+$C$8)^$C$11)/((1+$C$8)^$C$11-1))</f>
        <v/>
      </c>
      <c r="I255" s="20" t="str">
        <f>IF(B255&gt;$C$11,"", H255-(J254*$C$8))</f>
        <v/>
      </c>
      <c r="J255" s="20" t="str">
        <f t="shared" si="14"/>
        <v/>
      </c>
    </row>
    <row r="256" spans="2:10" x14ac:dyDescent="0.3">
      <c r="B256" s="6">
        <v>240</v>
      </c>
      <c r="C256" s="20" t="str">
        <f t="shared" si="11"/>
        <v/>
      </c>
      <c r="D256" s="20" t="str">
        <f>IF(B256&gt;$C$11,"", F255*$C$8)</f>
        <v/>
      </c>
      <c r="E256" s="20" t="str">
        <f t="shared" si="12"/>
        <v/>
      </c>
      <c r="F256" s="20" t="str">
        <f t="shared" si="13"/>
        <v/>
      </c>
      <c r="H256" s="20" t="str">
        <f>IF(B256&gt;$C$11,"", $C$10*($C$8*(1+$C$8)^$C$11)/((1+$C$8)^$C$11-1))</f>
        <v/>
      </c>
      <c r="I256" s="20" t="str">
        <f>IF(B256&gt;$C$11,"", H256-(J255*$C$8))</f>
        <v/>
      </c>
      <c r="J256" s="20" t="str">
        <f t="shared" si="14"/>
        <v/>
      </c>
    </row>
    <row r="257" spans="2:10" x14ac:dyDescent="0.3">
      <c r="B257" s="6">
        <v>241</v>
      </c>
      <c r="C257" s="20" t="str">
        <f t="shared" si="11"/>
        <v/>
      </c>
      <c r="D257" s="20" t="str">
        <f>IF(B257&gt;$C$11,"", F256*$C$8)</f>
        <v/>
      </c>
      <c r="E257" s="20" t="str">
        <f t="shared" si="12"/>
        <v/>
      </c>
      <c r="F257" s="20" t="str">
        <f t="shared" si="13"/>
        <v/>
      </c>
      <c r="H257" s="20" t="str">
        <f>IF(B257&gt;$C$11,"", $C$10*($C$8*(1+$C$8)^$C$11)/((1+$C$8)^$C$11-1))</f>
        <v/>
      </c>
      <c r="I257" s="20" t="str">
        <f>IF(B257&gt;$C$11,"", H257-(J256*$C$8))</f>
        <v/>
      </c>
      <c r="J257" s="20" t="str">
        <f t="shared" si="14"/>
        <v/>
      </c>
    </row>
    <row r="258" spans="2:10" x14ac:dyDescent="0.3">
      <c r="B258" s="6">
        <v>242</v>
      </c>
      <c r="C258" s="20" t="str">
        <f t="shared" si="11"/>
        <v/>
      </c>
      <c r="D258" s="20" t="str">
        <f>IF(B258&gt;$C$11,"", F257*$C$8)</f>
        <v/>
      </c>
      <c r="E258" s="20" t="str">
        <f t="shared" si="12"/>
        <v/>
      </c>
      <c r="F258" s="20" t="str">
        <f t="shared" si="13"/>
        <v/>
      </c>
      <c r="H258" s="20" t="str">
        <f>IF(B258&gt;$C$11,"", $C$10*($C$8*(1+$C$8)^$C$11)/((1+$C$8)^$C$11-1))</f>
        <v/>
      </c>
      <c r="I258" s="20" t="str">
        <f>IF(B258&gt;$C$11,"", H258-(J257*$C$8))</f>
        <v/>
      </c>
      <c r="J258" s="20" t="str">
        <f t="shared" si="14"/>
        <v/>
      </c>
    </row>
    <row r="259" spans="2:10" x14ac:dyDescent="0.3">
      <c r="B259" s="6">
        <v>243</v>
      </c>
      <c r="C259" s="20" t="str">
        <f t="shared" si="11"/>
        <v/>
      </c>
      <c r="D259" s="20" t="str">
        <f>IF(B259&gt;$C$11,"", F258*$C$8)</f>
        <v/>
      </c>
      <c r="E259" s="20" t="str">
        <f t="shared" si="12"/>
        <v/>
      </c>
      <c r="F259" s="20" t="str">
        <f t="shared" si="13"/>
        <v/>
      </c>
      <c r="H259" s="20" t="str">
        <f>IF(B259&gt;$C$11,"", $C$10*($C$8*(1+$C$8)^$C$11)/((1+$C$8)^$C$11-1))</f>
        <v/>
      </c>
      <c r="I259" s="20" t="str">
        <f>IF(B259&gt;$C$11,"", H259-(J258*$C$8))</f>
        <v/>
      </c>
      <c r="J259" s="20" t="str">
        <f t="shared" si="14"/>
        <v/>
      </c>
    </row>
    <row r="260" spans="2:10" x14ac:dyDescent="0.3">
      <c r="B260" s="6">
        <v>244</v>
      </c>
      <c r="C260" s="20" t="str">
        <f t="shared" si="11"/>
        <v/>
      </c>
      <c r="D260" s="20" t="str">
        <f>IF(B260&gt;$C$11,"", F259*$C$8)</f>
        <v/>
      </c>
      <c r="E260" s="20" t="str">
        <f t="shared" si="12"/>
        <v/>
      </c>
      <c r="F260" s="20" t="str">
        <f t="shared" si="13"/>
        <v/>
      </c>
      <c r="H260" s="20" t="str">
        <f>IF(B260&gt;$C$11,"", $C$10*($C$8*(1+$C$8)^$C$11)/((1+$C$8)^$C$11-1))</f>
        <v/>
      </c>
      <c r="I260" s="20" t="str">
        <f>IF(B260&gt;$C$11,"", H260-(J259*$C$8))</f>
        <v/>
      </c>
      <c r="J260" s="20" t="str">
        <f t="shared" si="14"/>
        <v/>
      </c>
    </row>
    <row r="261" spans="2:10" x14ac:dyDescent="0.3">
      <c r="B261" s="6">
        <v>245</v>
      </c>
      <c r="C261" s="20" t="str">
        <f t="shared" si="11"/>
        <v/>
      </c>
      <c r="D261" s="20" t="str">
        <f>IF(B261&gt;$C$11,"", F260*$C$8)</f>
        <v/>
      </c>
      <c r="E261" s="20" t="str">
        <f t="shared" si="12"/>
        <v/>
      </c>
      <c r="F261" s="20" t="str">
        <f t="shared" si="13"/>
        <v/>
      </c>
      <c r="H261" s="20" t="str">
        <f>IF(B261&gt;$C$11,"", $C$10*($C$8*(1+$C$8)^$C$11)/((1+$C$8)^$C$11-1))</f>
        <v/>
      </c>
      <c r="I261" s="20" t="str">
        <f>IF(B261&gt;$C$11,"", H261-(J260*$C$8))</f>
        <v/>
      </c>
      <c r="J261" s="20" t="str">
        <f t="shared" si="14"/>
        <v/>
      </c>
    </row>
    <row r="262" spans="2:10" x14ac:dyDescent="0.3">
      <c r="B262" s="6">
        <v>246</v>
      </c>
      <c r="C262" s="20" t="str">
        <f t="shared" si="11"/>
        <v/>
      </c>
      <c r="D262" s="20" t="str">
        <f>IF(B262&gt;$C$11,"", F261*$C$8)</f>
        <v/>
      </c>
      <c r="E262" s="20" t="str">
        <f t="shared" si="12"/>
        <v/>
      </c>
      <c r="F262" s="20" t="str">
        <f t="shared" si="13"/>
        <v/>
      </c>
      <c r="H262" s="20" t="str">
        <f>IF(B262&gt;$C$11,"", $C$10*($C$8*(1+$C$8)^$C$11)/((1+$C$8)^$C$11-1))</f>
        <v/>
      </c>
      <c r="I262" s="20" t="str">
        <f>IF(B262&gt;$C$11,"", H262-(J261*$C$8))</f>
        <v/>
      </c>
      <c r="J262" s="20" t="str">
        <f t="shared" si="14"/>
        <v/>
      </c>
    </row>
    <row r="263" spans="2:10" x14ac:dyDescent="0.3">
      <c r="B263" s="6">
        <v>247</v>
      </c>
      <c r="C263" s="20" t="str">
        <f t="shared" si="11"/>
        <v/>
      </c>
      <c r="D263" s="20" t="str">
        <f>IF(B263&gt;$C$11,"", F262*$C$8)</f>
        <v/>
      </c>
      <c r="E263" s="20" t="str">
        <f t="shared" si="12"/>
        <v/>
      </c>
      <c r="F263" s="20" t="str">
        <f t="shared" si="13"/>
        <v/>
      </c>
      <c r="H263" s="20" t="str">
        <f>IF(B263&gt;$C$11,"", $C$10*($C$8*(1+$C$8)^$C$11)/((1+$C$8)^$C$11-1))</f>
        <v/>
      </c>
      <c r="I263" s="20" t="str">
        <f>IF(B263&gt;$C$11,"", H263-(J262*$C$8))</f>
        <v/>
      </c>
      <c r="J263" s="20" t="str">
        <f t="shared" si="14"/>
        <v/>
      </c>
    </row>
    <row r="264" spans="2:10" x14ac:dyDescent="0.3">
      <c r="B264" s="6">
        <v>248</v>
      </c>
      <c r="C264" s="20" t="str">
        <f t="shared" si="11"/>
        <v/>
      </c>
      <c r="D264" s="20" t="str">
        <f>IF(B264&gt;$C$11,"", F263*$C$8)</f>
        <v/>
      </c>
      <c r="E264" s="20" t="str">
        <f t="shared" si="12"/>
        <v/>
      </c>
      <c r="F264" s="20" t="str">
        <f t="shared" si="13"/>
        <v/>
      </c>
      <c r="H264" s="20" t="str">
        <f>IF(B264&gt;$C$11,"", $C$10*($C$8*(1+$C$8)^$C$11)/((1+$C$8)^$C$11-1))</f>
        <v/>
      </c>
      <c r="I264" s="20" t="str">
        <f>IF(B264&gt;$C$11,"", H264-(J263*$C$8))</f>
        <v/>
      </c>
      <c r="J264" s="20" t="str">
        <f t="shared" si="14"/>
        <v/>
      </c>
    </row>
    <row r="265" spans="2:10" x14ac:dyDescent="0.3">
      <c r="B265" s="6">
        <v>249</v>
      </c>
      <c r="C265" s="20" t="str">
        <f t="shared" si="11"/>
        <v/>
      </c>
      <c r="D265" s="20" t="str">
        <f>IF(B265&gt;$C$11,"", F264*$C$8)</f>
        <v/>
      </c>
      <c r="E265" s="20" t="str">
        <f t="shared" si="12"/>
        <v/>
      </c>
      <c r="F265" s="20" t="str">
        <f t="shared" si="13"/>
        <v/>
      </c>
      <c r="H265" s="20" t="str">
        <f>IF(B265&gt;$C$11,"", $C$10*($C$8*(1+$C$8)^$C$11)/((1+$C$8)^$C$11-1))</f>
        <v/>
      </c>
      <c r="I265" s="20" t="str">
        <f>IF(B265&gt;$C$11,"", H265-(J264*$C$8))</f>
        <v/>
      </c>
      <c r="J265" s="20" t="str">
        <f t="shared" si="14"/>
        <v/>
      </c>
    </row>
    <row r="266" spans="2:10" x14ac:dyDescent="0.3">
      <c r="B266" s="6">
        <v>250</v>
      </c>
      <c r="C266" s="20" t="str">
        <f t="shared" si="11"/>
        <v/>
      </c>
      <c r="D266" s="20" t="str">
        <f>IF(B266&gt;$C$11,"", F265*$C$8)</f>
        <v/>
      </c>
      <c r="E266" s="20" t="str">
        <f t="shared" si="12"/>
        <v/>
      </c>
      <c r="F266" s="20" t="str">
        <f t="shared" si="13"/>
        <v/>
      </c>
      <c r="H266" s="20" t="str">
        <f>IF(B266&gt;$C$11,"", $C$10*($C$8*(1+$C$8)^$C$11)/((1+$C$8)^$C$11-1))</f>
        <v/>
      </c>
      <c r="I266" s="20" t="str">
        <f>IF(B266&gt;$C$11,"", H266-(J265*$C$8))</f>
        <v/>
      </c>
      <c r="J266" s="20" t="str">
        <f t="shared" si="14"/>
        <v/>
      </c>
    </row>
    <row r="267" spans="2:10" x14ac:dyDescent="0.3">
      <c r="B267" s="6">
        <v>251</v>
      </c>
      <c r="C267" s="20" t="str">
        <f t="shared" si="11"/>
        <v/>
      </c>
      <c r="D267" s="20" t="str">
        <f>IF(B267&gt;$C$11,"", F266*$C$8)</f>
        <v/>
      </c>
      <c r="E267" s="20" t="str">
        <f t="shared" si="12"/>
        <v/>
      </c>
      <c r="F267" s="20" t="str">
        <f t="shared" si="13"/>
        <v/>
      </c>
      <c r="H267" s="20" t="str">
        <f>IF(B267&gt;$C$11,"", $C$10*($C$8*(1+$C$8)^$C$11)/((1+$C$8)^$C$11-1))</f>
        <v/>
      </c>
      <c r="I267" s="20" t="str">
        <f>IF(B267&gt;$C$11,"", H267-(J266*$C$8))</f>
        <v/>
      </c>
      <c r="J267" s="20" t="str">
        <f t="shared" si="14"/>
        <v/>
      </c>
    </row>
    <row r="268" spans="2:10" x14ac:dyDescent="0.3">
      <c r="B268" s="6">
        <v>252</v>
      </c>
      <c r="C268" s="20" t="str">
        <f t="shared" si="11"/>
        <v/>
      </c>
      <c r="D268" s="20" t="str">
        <f>IF(B268&gt;$C$11,"", F267*$C$8)</f>
        <v/>
      </c>
      <c r="E268" s="20" t="str">
        <f t="shared" si="12"/>
        <v/>
      </c>
      <c r="F268" s="20" t="str">
        <f t="shared" si="13"/>
        <v/>
      </c>
      <c r="H268" s="20" t="str">
        <f>IF(B268&gt;$C$11,"", $C$10*($C$8*(1+$C$8)^$C$11)/((1+$C$8)^$C$11-1))</f>
        <v/>
      </c>
      <c r="I268" s="20" t="str">
        <f>IF(B268&gt;$C$11,"", H268-(J267*$C$8))</f>
        <v/>
      </c>
      <c r="J268" s="20" t="str">
        <f t="shared" si="14"/>
        <v/>
      </c>
    </row>
    <row r="269" spans="2:10" x14ac:dyDescent="0.3">
      <c r="B269" s="6">
        <v>253</v>
      </c>
      <c r="C269" s="20" t="str">
        <f t="shared" si="11"/>
        <v/>
      </c>
      <c r="D269" s="20" t="str">
        <f>IF(B269&gt;$C$11,"", F268*$C$8)</f>
        <v/>
      </c>
      <c r="E269" s="20" t="str">
        <f t="shared" si="12"/>
        <v/>
      </c>
      <c r="F269" s="20" t="str">
        <f t="shared" si="13"/>
        <v/>
      </c>
      <c r="H269" s="20" t="str">
        <f>IF(B269&gt;$C$11,"", $C$10*($C$8*(1+$C$8)^$C$11)/((1+$C$8)^$C$11-1))</f>
        <v/>
      </c>
      <c r="I269" s="20" t="str">
        <f>IF(B269&gt;$C$11,"", H269-(J268*$C$8))</f>
        <v/>
      </c>
      <c r="J269" s="20" t="str">
        <f t="shared" si="14"/>
        <v/>
      </c>
    </row>
    <row r="270" spans="2:10" x14ac:dyDescent="0.3">
      <c r="B270" s="6">
        <v>254</v>
      </c>
      <c r="C270" s="20" t="str">
        <f t="shared" si="11"/>
        <v/>
      </c>
      <c r="D270" s="20" t="str">
        <f>IF(B270&gt;$C$11,"", F269*$C$8)</f>
        <v/>
      </c>
      <c r="E270" s="20" t="str">
        <f t="shared" si="12"/>
        <v/>
      </c>
      <c r="F270" s="20" t="str">
        <f t="shared" si="13"/>
        <v/>
      </c>
      <c r="H270" s="20" t="str">
        <f>IF(B270&gt;$C$11,"", $C$10*($C$8*(1+$C$8)^$C$11)/((1+$C$8)^$C$11-1))</f>
        <v/>
      </c>
      <c r="I270" s="20" t="str">
        <f>IF(B270&gt;$C$11,"", H270-(J269*$C$8))</f>
        <v/>
      </c>
      <c r="J270" s="20" t="str">
        <f t="shared" si="14"/>
        <v/>
      </c>
    </row>
    <row r="271" spans="2:10" x14ac:dyDescent="0.3">
      <c r="B271" s="6">
        <v>255</v>
      </c>
      <c r="C271" s="20" t="str">
        <f t="shared" si="11"/>
        <v/>
      </c>
      <c r="D271" s="20" t="str">
        <f>IF(B271&gt;$C$11,"", F270*$C$8)</f>
        <v/>
      </c>
      <c r="E271" s="20" t="str">
        <f t="shared" si="12"/>
        <v/>
      </c>
      <c r="F271" s="20" t="str">
        <f t="shared" si="13"/>
        <v/>
      </c>
      <c r="H271" s="20" t="str">
        <f>IF(B271&gt;$C$11,"", $C$10*($C$8*(1+$C$8)^$C$11)/((1+$C$8)^$C$11-1))</f>
        <v/>
      </c>
      <c r="I271" s="20" t="str">
        <f>IF(B271&gt;$C$11,"", H271-(J270*$C$8))</f>
        <v/>
      </c>
      <c r="J271" s="20" t="str">
        <f t="shared" si="14"/>
        <v/>
      </c>
    </row>
    <row r="272" spans="2:10" x14ac:dyDescent="0.3">
      <c r="B272" s="6">
        <v>256</v>
      </c>
      <c r="C272" s="20" t="str">
        <f t="shared" si="11"/>
        <v/>
      </c>
      <c r="D272" s="20" t="str">
        <f>IF(B272&gt;$C$11,"", F271*$C$8)</f>
        <v/>
      </c>
      <c r="E272" s="20" t="str">
        <f t="shared" si="12"/>
        <v/>
      </c>
      <c r="F272" s="20" t="str">
        <f t="shared" si="13"/>
        <v/>
      </c>
      <c r="H272" s="20" t="str">
        <f>IF(B272&gt;$C$11,"", $C$10*($C$8*(1+$C$8)^$C$11)/((1+$C$8)^$C$11-1))</f>
        <v/>
      </c>
      <c r="I272" s="20" t="str">
        <f>IF(B272&gt;$C$11,"", H272-(J271*$C$8))</f>
        <v/>
      </c>
      <c r="J272" s="20" t="str">
        <f t="shared" si="14"/>
        <v/>
      </c>
    </row>
    <row r="273" spans="2:10" x14ac:dyDescent="0.3">
      <c r="B273" s="6">
        <v>257</v>
      </c>
      <c r="C273" s="20" t="str">
        <f t="shared" ref="C273:C336" si="15">IF(B273&gt;$C$11,"", $C$10/$C$11)</f>
        <v/>
      </c>
      <c r="D273" s="20" t="str">
        <f>IF(B273&gt;$C$11,"", F272*$C$8)</f>
        <v/>
      </c>
      <c r="E273" s="20" t="str">
        <f t="shared" ref="E273:E336" si="16">IF(B273&gt;$C$11,"", C273+D273)</f>
        <v/>
      </c>
      <c r="F273" s="20" t="str">
        <f t="shared" si="13"/>
        <v/>
      </c>
      <c r="H273" s="20" t="str">
        <f>IF(B273&gt;$C$11,"", $C$10*($C$8*(1+$C$8)^$C$11)/((1+$C$8)^$C$11-1))</f>
        <v/>
      </c>
      <c r="I273" s="20" t="str">
        <f>IF(B273&gt;$C$11,"", H273-(J272*$C$8))</f>
        <v/>
      </c>
      <c r="J273" s="20" t="str">
        <f t="shared" si="14"/>
        <v/>
      </c>
    </row>
    <row r="274" spans="2:10" x14ac:dyDescent="0.3">
      <c r="B274" s="6">
        <v>258</v>
      </c>
      <c r="C274" s="20" t="str">
        <f t="shared" si="15"/>
        <v/>
      </c>
      <c r="D274" s="20" t="str">
        <f>IF(B274&gt;$C$11,"", F273*$C$8)</f>
        <v/>
      </c>
      <c r="E274" s="20" t="str">
        <f t="shared" si="16"/>
        <v/>
      </c>
      <c r="F274" s="20" t="str">
        <f t="shared" ref="F274:F337" si="17">IF(B274&gt;$C$11,"", F273-C274)</f>
        <v/>
      </c>
      <c r="H274" s="20" t="str">
        <f>IF(B274&gt;$C$11,"", $C$10*($C$8*(1+$C$8)^$C$11)/((1+$C$8)^$C$11-1))</f>
        <v/>
      </c>
      <c r="I274" s="20" t="str">
        <f>IF(B274&gt;$C$11,"", H274-(J273*$C$8))</f>
        <v/>
      </c>
      <c r="J274" s="20" t="str">
        <f t="shared" ref="J274:J337" si="18">IF(B274&gt;$C$11,"", J273-I274)</f>
        <v/>
      </c>
    </row>
    <row r="275" spans="2:10" x14ac:dyDescent="0.3">
      <c r="B275" s="6">
        <v>259</v>
      </c>
      <c r="C275" s="20" t="str">
        <f t="shared" si="15"/>
        <v/>
      </c>
      <c r="D275" s="20" t="str">
        <f>IF(B275&gt;$C$11,"", F274*$C$8)</f>
        <v/>
      </c>
      <c r="E275" s="20" t="str">
        <f t="shared" si="16"/>
        <v/>
      </c>
      <c r="F275" s="20" t="str">
        <f t="shared" si="17"/>
        <v/>
      </c>
      <c r="H275" s="20" t="str">
        <f>IF(B275&gt;$C$11,"", $C$10*($C$8*(1+$C$8)^$C$11)/((1+$C$8)^$C$11-1))</f>
        <v/>
      </c>
      <c r="I275" s="20" t="str">
        <f>IF(B275&gt;$C$11,"", H275-(J274*$C$8))</f>
        <v/>
      </c>
      <c r="J275" s="20" t="str">
        <f t="shared" si="18"/>
        <v/>
      </c>
    </row>
    <row r="276" spans="2:10" x14ac:dyDescent="0.3">
      <c r="B276" s="6">
        <v>260</v>
      </c>
      <c r="C276" s="20" t="str">
        <f t="shared" si="15"/>
        <v/>
      </c>
      <c r="D276" s="20" t="str">
        <f>IF(B276&gt;$C$11,"", F275*$C$8)</f>
        <v/>
      </c>
      <c r="E276" s="20" t="str">
        <f t="shared" si="16"/>
        <v/>
      </c>
      <c r="F276" s="20" t="str">
        <f t="shared" si="17"/>
        <v/>
      </c>
      <c r="H276" s="20" t="str">
        <f>IF(B276&gt;$C$11,"", $C$10*($C$8*(1+$C$8)^$C$11)/((1+$C$8)^$C$11-1))</f>
        <v/>
      </c>
      <c r="I276" s="20" t="str">
        <f>IF(B276&gt;$C$11,"", H276-(J275*$C$8))</f>
        <v/>
      </c>
      <c r="J276" s="20" t="str">
        <f t="shared" si="18"/>
        <v/>
      </c>
    </row>
    <row r="277" spans="2:10" x14ac:dyDescent="0.3">
      <c r="B277" s="6">
        <v>261</v>
      </c>
      <c r="C277" s="20" t="str">
        <f t="shared" si="15"/>
        <v/>
      </c>
      <c r="D277" s="20" t="str">
        <f>IF(B277&gt;$C$11,"", F276*$C$8)</f>
        <v/>
      </c>
      <c r="E277" s="20" t="str">
        <f t="shared" si="16"/>
        <v/>
      </c>
      <c r="F277" s="20" t="str">
        <f t="shared" si="17"/>
        <v/>
      </c>
      <c r="H277" s="20" t="str">
        <f>IF(B277&gt;$C$11,"", $C$10*($C$8*(1+$C$8)^$C$11)/((1+$C$8)^$C$11-1))</f>
        <v/>
      </c>
      <c r="I277" s="20" t="str">
        <f>IF(B277&gt;$C$11,"", H277-(J276*$C$8))</f>
        <v/>
      </c>
      <c r="J277" s="20" t="str">
        <f t="shared" si="18"/>
        <v/>
      </c>
    </row>
    <row r="278" spans="2:10" x14ac:dyDescent="0.3">
      <c r="B278" s="6">
        <v>262</v>
      </c>
      <c r="C278" s="20" t="str">
        <f t="shared" si="15"/>
        <v/>
      </c>
      <c r="D278" s="20" t="str">
        <f>IF(B278&gt;$C$11,"", F277*$C$8)</f>
        <v/>
      </c>
      <c r="E278" s="20" t="str">
        <f t="shared" si="16"/>
        <v/>
      </c>
      <c r="F278" s="20" t="str">
        <f t="shared" si="17"/>
        <v/>
      </c>
      <c r="H278" s="20" t="str">
        <f>IF(B278&gt;$C$11,"", $C$10*($C$8*(1+$C$8)^$C$11)/((1+$C$8)^$C$11-1))</f>
        <v/>
      </c>
      <c r="I278" s="20" t="str">
        <f>IF(B278&gt;$C$11,"", H278-(J277*$C$8))</f>
        <v/>
      </c>
      <c r="J278" s="20" t="str">
        <f t="shared" si="18"/>
        <v/>
      </c>
    </row>
    <row r="279" spans="2:10" x14ac:dyDescent="0.3">
      <c r="B279" s="6">
        <v>263</v>
      </c>
      <c r="C279" s="20" t="str">
        <f t="shared" si="15"/>
        <v/>
      </c>
      <c r="D279" s="20" t="str">
        <f>IF(B279&gt;$C$11,"", F278*$C$8)</f>
        <v/>
      </c>
      <c r="E279" s="20" t="str">
        <f t="shared" si="16"/>
        <v/>
      </c>
      <c r="F279" s="20" t="str">
        <f t="shared" si="17"/>
        <v/>
      </c>
      <c r="H279" s="20" t="str">
        <f>IF(B279&gt;$C$11,"", $C$10*($C$8*(1+$C$8)^$C$11)/((1+$C$8)^$C$11-1))</f>
        <v/>
      </c>
      <c r="I279" s="20" t="str">
        <f>IF(B279&gt;$C$11,"", H279-(J278*$C$8))</f>
        <v/>
      </c>
      <c r="J279" s="20" t="str">
        <f t="shared" si="18"/>
        <v/>
      </c>
    </row>
    <row r="280" spans="2:10" x14ac:dyDescent="0.3">
      <c r="B280" s="6">
        <v>264</v>
      </c>
      <c r="C280" s="20" t="str">
        <f t="shared" si="15"/>
        <v/>
      </c>
      <c r="D280" s="20" t="str">
        <f>IF(B280&gt;$C$11,"", F279*$C$8)</f>
        <v/>
      </c>
      <c r="E280" s="20" t="str">
        <f t="shared" si="16"/>
        <v/>
      </c>
      <c r="F280" s="20" t="str">
        <f t="shared" si="17"/>
        <v/>
      </c>
      <c r="H280" s="20" t="str">
        <f>IF(B280&gt;$C$11,"", $C$10*($C$8*(1+$C$8)^$C$11)/((1+$C$8)^$C$11-1))</f>
        <v/>
      </c>
      <c r="I280" s="20" t="str">
        <f>IF(B280&gt;$C$11,"", H280-(J279*$C$8))</f>
        <v/>
      </c>
      <c r="J280" s="20" t="str">
        <f t="shared" si="18"/>
        <v/>
      </c>
    </row>
    <row r="281" spans="2:10" x14ac:dyDescent="0.3">
      <c r="B281" s="6">
        <v>265</v>
      </c>
      <c r="C281" s="20" t="str">
        <f t="shared" si="15"/>
        <v/>
      </c>
      <c r="D281" s="20" t="str">
        <f>IF(B281&gt;$C$11,"", F280*$C$8)</f>
        <v/>
      </c>
      <c r="E281" s="20" t="str">
        <f t="shared" si="16"/>
        <v/>
      </c>
      <c r="F281" s="20" t="str">
        <f t="shared" si="17"/>
        <v/>
      </c>
      <c r="H281" s="20" t="str">
        <f>IF(B281&gt;$C$11,"", $C$10*($C$8*(1+$C$8)^$C$11)/((1+$C$8)^$C$11-1))</f>
        <v/>
      </c>
      <c r="I281" s="20" t="str">
        <f>IF(B281&gt;$C$11,"", H281-(J280*$C$8))</f>
        <v/>
      </c>
      <c r="J281" s="20" t="str">
        <f t="shared" si="18"/>
        <v/>
      </c>
    </row>
    <row r="282" spans="2:10" x14ac:dyDescent="0.3">
      <c r="B282" s="6">
        <v>266</v>
      </c>
      <c r="C282" s="20" t="str">
        <f t="shared" si="15"/>
        <v/>
      </c>
      <c r="D282" s="20" t="str">
        <f>IF(B282&gt;$C$11,"", F281*$C$8)</f>
        <v/>
      </c>
      <c r="E282" s="20" t="str">
        <f t="shared" si="16"/>
        <v/>
      </c>
      <c r="F282" s="20" t="str">
        <f t="shared" si="17"/>
        <v/>
      </c>
      <c r="H282" s="20" t="str">
        <f>IF(B282&gt;$C$11,"", $C$10*($C$8*(1+$C$8)^$C$11)/((1+$C$8)^$C$11-1))</f>
        <v/>
      </c>
      <c r="I282" s="20" t="str">
        <f>IF(B282&gt;$C$11,"", H282-(J281*$C$8))</f>
        <v/>
      </c>
      <c r="J282" s="20" t="str">
        <f t="shared" si="18"/>
        <v/>
      </c>
    </row>
    <row r="283" spans="2:10" x14ac:dyDescent="0.3">
      <c r="B283" s="6">
        <v>267</v>
      </c>
      <c r="C283" s="20" t="str">
        <f t="shared" si="15"/>
        <v/>
      </c>
      <c r="D283" s="20" t="str">
        <f>IF(B283&gt;$C$11,"", F282*$C$8)</f>
        <v/>
      </c>
      <c r="E283" s="20" t="str">
        <f t="shared" si="16"/>
        <v/>
      </c>
      <c r="F283" s="20" t="str">
        <f t="shared" si="17"/>
        <v/>
      </c>
      <c r="H283" s="20" t="str">
        <f>IF(B283&gt;$C$11,"", $C$10*($C$8*(1+$C$8)^$C$11)/((1+$C$8)^$C$11-1))</f>
        <v/>
      </c>
      <c r="I283" s="20" t="str">
        <f>IF(B283&gt;$C$11,"", H283-(J282*$C$8))</f>
        <v/>
      </c>
      <c r="J283" s="20" t="str">
        <f t="shared" si="18"/>
        <v/>
      </c>
    </row>
    <row r="284" spans="2:10" x14ac:dyDescent="0.3">
      <c r="B284" s="6">
        <v>268</v>
      </c>
      <c r="C284" s="20" t="str">
        <f t="shared" si="15"/>
        <v/>
      </c>
      <c r="D284" s="20" t="str">
        <f>IF(B284&gt;$C$11,"", F283*$C$8)</f>
        <v/>
      </c>
      <c r="E284" s="20" t="str">
        <f t="shared" si="16"/>
        <v/>
      </c>
      <c r="F284" s="20" t="str">
        <f t="shared" si="17"/>
        <v/>
      </c>
      <c r="H284" s="20" t="str">
        <f>IF(B284&gt;$C$11,"", $C$10*($C$8*(1+$C$8)^$C$11)/((1+$C$8)^$C$11-1))</f>
        <v/>
      </c>
      <c r="I284" s="20" t="str">
        <f>IF(B284&gt;$C$11,"", H284-(J283*$C$8))</f>
        <v/>
      </c>
      <c r="J284" s="20" t="str">
        <f t="shared" si="18"/>
        <v/>
      </c>
    </row>
    <row r="285" spans="2:10" x14ac:dyDescent="0.3">
      <c r="B285" s="6">
        <v>269</v>
      </c>
      <c r="C285" s="20" t="str">
        <f t="shared" si="15"/>
        <v/>
      </c>
      <c r="D285" s="20" t="str">
        <f>IF(B285&gt;$C$11,"", F284*$C$8)</f>
        <v/>
      </c>
      <c r="E285" s="20" t="str">
        <f t="shared" si="16"/>
        <v/>
      </c>
      <c r="F285" s="20" t="str">
        <f t="shared" si="17"/>
        <v/>
      </c>
      <c r="H285" s="20" t="str">
        <f>IF(B285&gt;$C$11,"", $C$10*($C$8*(1+$C$8)^$C$11)/((1+$C$8)^$C$11-1))</f>
        <v/>
      </c>
      <c r="I285" s="20" t="str">
        <f>IF(B285&gt;$C$11,"", H285-(J284*$C$8))</f>
        <v/>
      </c>
      <c r="J285" s="20" t="str">
        <f t="shared" si="18"/>
        <v/>
      </c>
    </row>
    <row r="286" spans="2:10" x14ac:dyDescent="0.3">
      <c r="B286" s="6">
        <v>270</v>
      </c>
      <c r="C286" s="20" t="str">
        <f t="shared" si="15"/>
        <v/>
      </c>
      <c r="D286" s="20" t="str">
        <f>IF(B286&gt;$C$11,"", F285*$C$8)</f>
        <v/>
      </c>
      <c r="E286" s="20" t="str">
        <f t="shared" si="16"/>
        <v/>
      </c>
      <c r="F286" s="20" t="str">
        <f t="shared" si="17"/>
        <v/>
      </c>
      <c r="H286" s="20" t="str">
        <f>IF(B286&gt;$C$11,"", $C$10*($C$8*(1+$C$8)^$C$11)/((1+$C$8)^$C$11-1))</f>
        <v/>
      </c>
      <c r="I286" s="20" t="str">
        <f>IF(B286&gt;$C$11,"", H286-(J285*$C$8))</f>
        <v/>
      </c>
      <c r="J286" s="20" t="str">
        <f t="shared" si="18"/>
        <v/>
      </c>
    </row>
    <row r="287" spans="2:10" x14ac:dyDescent="0.3">
      <c r="B287" s="6">
        <v>271</v>
      </c>
      <c r="C287" s="20" t="str">
        <f t="shared" si="15"/>
        <v/>
      </c>
      <c r="D287" s="20" t="str">
        <f>IF(B287&gt;$C$11,"", F286*$C$8)</f>
        <v/>
      </c>
      <c r="E287" s="20" t="str">
        <f t="shared" si="16"/>
        <v/>
      </c>
      <c r="F287" s="20" t="str">
        <f t="shared" si="17"/>
        <v/>
      </c>
      <c r="H287" s="20" t="str">
        <f>IF(B287&gt;$C$11,"", $C$10*($C$8*(1+$C$8)^$C$11)/((1+$C$8)^$C$11-1))</f>
        <v/>
      </c>
      <c r="I287" s="20" t="str">
        <f>IF(B287&gt;$C$11,"", H287-(J286*$C$8))</f>
        <v/>
      </c>
      <c r="J287" s="20" t="str">
        <f t="shared" si="18"/>
        <v/>
      </c>
    </row>
    <row r="288" spans="2:10" x14ac:dyDescent="0.3">
      <c r="B288" s="6">
        <v>272</v>
      </c>
      <c r="C288" s="20" t="str">
        <f t="shared" si="15"/>
        <v/>
      </c>
      <c r="D288" s="20" t="str">
        <f>IF(B288&gt;$C$11,"", F287*$C$8)</f>
        <v/>
      </c>
      <c r="E288" s="20" t="str">
        <f t="shared" si="16"/>
        <v/>
      </c>
      <c r="F288" s="20" t="str">
        <f t="shared" si="17"/>
        <v/>
      </c>
      <c r="H288" s="20" t="str">
        <f>IF(B288&gt;$C$11,"", $C$10*($C$8*(1+$C$8)^$C$11)/((1+$C$8)^$C$11-1))</f>
        <v/>
      </c>
      <c r="I288" s="20" t="str">
        <f>IF(B288&gt;$C$11,"", H288-(J287*$C$8))</f>
        <v/>
      </c>
      <c r="J288" s="20" t="str">
        <f t="shared" si="18"/>
        <v/>
      </c>
    </row>
    <row r="289" spans="2:10" x14ac:dyDescent="0.3">
      <c r="B289" s="6">
        <v>273</v>
      </c>
      <c r="C289" s="20" t="str">
        <f t="shared" si="15"/>
        <v/>
      </c>
      <c r="D289" s="20" t="str">
        <f>IF(B289&gt;$C$11,"", F288*$C$8)</f>
        <v/>
      </c>
      <c r="E289" s="20" t="str">
        <f t="shared" si="16"/>
        <v/>
      </c>
      <c r="F289" s="20" t="str">
        <f t="shared" si="17"/>
        <v/>
      </c>
      <c r="H289" s="20" t="str">
        <f>IF(B289&gt;$C$11,"", $C$10*($C$8*(1+$C$8)^$C$11)/((1+$C$8)^$C$11-1))</f>
        <v/>
      </c>
      <c r="I289" s="20" t="str">
        <f>IF(B289&gt;$C$11,"", H289-(J288*$C$8))</f>
        <v/>
      </c>
      <c r="J289" s="20" t="str">
        <f t="shared" si="18"/>
        <v/>
      </c>
    </row>
    <row r="290" spans="2:10" x14ac:dyDescent="0.3">
      <c r="B290" s="6">
        <v>274</v>
      </c>
      <c r="C290" s="20" t="str">
        <f t="shared" si="15"/>
        <v/>
      </c>
      <c r="D290" s="20" t="str">
        <f>IF(B290&gt;$C$11,"", F289*$C$8)</f>
        <v/>
      </c>
      <c r="E290" s="20" t="str">
        <f t="shared" si="16"/>
        <v/>
      </c>
      <c r="F290" s="20" t="str">
        <f t="shared" si="17"/>
        <v/>
      </c>
      <c r="H290" s="20" t="str">
        <f>IF(B290&gt;$C$11,"", $C$10*($C$8*(1+$C$8)^$C$11)/((1+$C$8)^$C$11-1))</f>
        <v/>
      </c>
      <c r="I290" s="20" t="str">
        <f>IF(B290&gt;$C$11,"", H290-(J289*$C$8))</f>
        <v/>
      </c>
      <c r="J290" s="20" t="str">
        <f t="shared" si="18"/>
        <v/>
      </c>
    </row>
    <row r="291" spans="2:10" x14ac:dyDescent="0.3">
      <c r="B291" s="6">
        <v>275</v>
      </c>
      <c r="C291" s="20" t="str">
        <f t="shared" si="15"/>
        <v/>
      </c>
      <c r="D291" s="20" t="str">
        <f>IF(B291&gt;$C$11,"", F290*$C$8)</f>
        <v/>
      </c>
      <c r="E291" s="20" t="str">
        <f t="shared" si="16"/>
        <v/>
      </c>
      <c r="F291" s="20" t="str">
        <f t="shared" si="17"/>
        <v/>
      </c>
      <c r="H291" s="20" t="str">
        <f>IF(B291&gt;$C$11,"", $C$10*($C$8*(1+$C$8)^$C$11)/((1+$C$8)^$C$11-1))</f>
        <v/>
      </c>
      <c r="I291" s="20" t="str">
        <f>IF(B291&gt;$C$11,"", H291-(J290*$C$8))</f>
        <v/>
      </c>
      <c r="J291" s="20" t="str">
        <f t="shared" si="18"/>
        <v/>
      </c>
    </row>
    <row r="292" spans="2:10" x14ac:dyDescent="0.3">
      <c r="B292" s="6">
        <v>276</v>
      </c>
      <c r="C292" s="20" t="str">
        <f t="shared" si="15"/>
        <v/>
      </c>
      <c r="D292" s="20" t="str">
        <f>IF(B292&gt;$C$11,"", F291*$C$8)</f>
        <v/>
      </c>
      <c r="E292" s="20" t="str">
        <f t="shared" si="16"/>
        <v/>
      </c>
      <c r="F292" s="20" t="str">
        <f t="shared" si="17"/>
        <v/>
      </c>
      <c r="H292" s="20" t="str">
        <f>IF(B292&gt;$C$11,"", $C$10*($C$8*(1+$C$8)^$C$11)/((1+$C$8)^$C$11-1))</f>
        <v/>
      </c>
      <c r="I292" s="20" t="str">
        <f>IF(B292&gt;$C$11,"", H292-(J291*$C$8))</f>
        <v/>
      </c>
      <c r="J292" s="20" t="str">
        <f t="shared" si="18"/>
        <v/>
      </c>
    </row>
    <row r="293" spans="2:10" x14ac:dyDescent="0.3">
      <c r="B293" s="6">
        <v>277</v>
      </c>
      <c r="C293" s="20" t="str">
        <f t="shared" si="15"/>
        <v/>
      </c>
      <c r="D293" s="20" t="str">
        <f>IF(B293&gt;$C$11,"", F292*$C$8)</f>
        <v/>
      </c>
      <c r="E293" s="20" t="str">
        <f t="shared" si="16"/>
        <v/>
      </c>
      <c r="F293" s="20" t="str">
        <f t="shared" si="17"/>
        <v/>
      </c>
      <c r="H293" s="20" t="str">
        <f>IF(B293&gt;$C$11,"", $C$10*($C$8*(1+$C$8)^$C$11)/((1+$C$8)^$C$11-1))</f>
        <v/>
      </c>
      <c r="I293" s="20" t="str">
        <f>IF(B293&gt;$C$11,"", H293-(J292*$C$8))</f>
        <v/>
      </c>
      <c r="J293" s="20" t="str">
        <f t="shared" si="18"/>
        <v/>
      </c>
    </row>
    <row r="294" spans="2:10" x14ac:dyDescent="0.3">
      <c r="B294" s="6">
        <v>278</v>
      </c>
      <c r="C294" s="20" t="str">
        <f t="shared" si="15"/>
        <v/>
      </c>
      <c r="D294" s="20" t="str">
        <f>IF(B294&gt;$C$11,"", F293*$C$8)</f>
        <v/>
      </c>
      <c r="E294" s="20" t="str">
        <f t="shared" si="16"/>
        <v/>
      </c>
      <c r="F294" s="20" t="str">
        <f t="shared" si="17"/>
        <v/>
      </c>
      <c r="H294" s="20" t="str">
        <f>IF(B294&gt;$C$11,"", $C$10*($C$8*(1+$C$8)^$C$11)/((1+$C$8)^$C$11-1))</f>
        <v/>
      </c>
      <c r="I294" s="20" t="str">
        <f>IF(B294&gt;$C$11,"", H294-(J293*$C$8))</f>
        <v/>
      </c>
      <c r="J294" s="20" t="str">
        <f t="shared" si="18"/>
        <v/>
      </c>
    </row>
    <row r="295" spans="2:10" x14ac:dyDescent="0.3">
      <c r="B295" s="6">
        <v>279</v>
      </c>
      <c r="C295" s="20" t="str">
        <f t="shared" si="15"/>
        <v/>
      </c>
      <c r="D295" s="20" t="str">
        <f>IF(B295&gt;$C$11,"", F294*$C$8)</f>
        <v/>
      </c>
      <c r="E295" s="20" t="str">
        <f t="shared" si="16"/>
        <v/>
      </c>
      <c r="F295" s="20" t="str">
        <f t="shared" si="17"/>
        <v/>
      </c>
      <c r="H295" s="20" t="str">
        <f>IF(B295&gt;$C$11,"", $C$10*($C$8*(1+$C$8)^$C$11)/((1+$C$8)^$C$11-1))</f>
        <v/>
      </c>
      <c r="I295" s="20" t="str">
        <f>IF(B295&gt;$C$11,"", H295-(J294*$C$8))</f>
        <v/>
      </c>
      <c r="J295" s="20" t="str">
        <f t="shared" si="18"/>
        <v/>
      </c>
    </row>
    <row r="296" spans="2:10" x14ac:dyDescent="0.3">
      <c r="B296" s="6">
        <v>280</v>
      </c>
      <c r="C296" s="20" t="str">
        <f t="shared" si="15"/>
        <v/>
      </c>
      <c r="D296" s="20" t="str">
        <f>IF(B296&gt;$C$11,"", F295*$C$8)</f>
        <v/>
      </c>
      <c r="E296" s="20" t="str">
        <f t="shared" si="16"/>
        <v/>
      </c>
      <c r="F296" s="20" t="str">
        <f t="shared" si="17"/>
        <v/>
      </c>
      <c r="H296" s="20" t="str">
        <f>IF(B296&gt;$C$11,"", $C$10*($C$8*(1+$C$8)^$C$11)/((1+$C$8)^$C$11-1))</f>
        <v/>
      </c>
      <c r="I296" s="20" t="str">
        <f>IF(B296&gt;$C$11,"", H296-(J295*$C$8))</f>
        <v/>
      </c>
      <c r="J296" s="20" t="str">
        <f t="shared" si="18"/>
        <v/>
      </c>
    </row>
    <row r="297" spans="2:10" x14ac:dyDescent="0.3">
      <c r="B297" s="6">
        <v>281</v>
      </c>
      <c r="C297" s="20" t="str">
        <f t="shared" si="15"/>
        <v/>
      </c>
      <c r="D297" s="20" t="str">
        <f>IF(B297&gt;$C$11,"", F296*$C$8)</f>
        <v/>
      </c>
      <c r="E297" s="20" t="str">
        <f t="shared" si="16"/>
        <v/>
      </c>
      <c r="F297" s="20" t="str">
        <f t="shared" si="17"/>
        <v/>
      </c>
      <c r="H297" s="20" t="str">
        <f>IF(B297&gt;$C$11,"", $C$10*($C$8*(1+$C$8)^$C$11)/((1+$C$8)^$C$11-1))</f>
        <v/>
      </c>
      <c r="I297" s="20" t="str">
        <f>IF(B297&gt;$C$11,"", H297-(J296*$C$8))</f>
        <v/>
      </c>
      <c r="J297" s="20" t="str">
        <f t="shared" si="18"/>
        <v/>
      </c>
    </row>
    <row r="298" spans="2:10" x14ac:dyDescent="0.3">
      <c r="B298" s="6">
        <v>282</v>
      </c>
      <c r="C298" s="20" t="str">
        <f t="shared" si="15"/>
        <v/>
      </c>
      <c r="D298" s="20" t="str">
        <f>IF(B298&gt;$C$11,"", F297*$C$8)</f>
        <v/>
      </c>
      <c r="E298" s="20" t="str">
        <f t="shared" si="16"/>
        <v/>
      </c>
      <c r="F298" s="20" t="str">
        <f t="shared" si="17"/>
        <v/>
      </c>
      <c r="H298" s="20" t="str">
        <f>IF(B298&gt;$C$11,"", $C$10*($C$8*(1+$C$8)^$C$11)/((1+$C$8)^$C$11-1))</f>
        <v/>
      </c>
      <c r="I298" s="20" t="str">
        <f>IF(B298&gt;$C$11,"", H298-(J297*$C$8))</f>
        <v/>
      </c>
      <c r="J298" s="20" t="str">
        <f t="shared" si="18"/>
        <v/>
      </c>
    </row>
    <row r="299" spans="2:10" x14ac:dyDescent="0.3">
      <c r="B299" s="6">
        <v>283</v>
      </c>
      <c r="C299" s="20" t="str">
        <f t="shared" si="15"/>
        <v/>
      </c>
      <c r="D299" s="20" t="str">
        <f>IF(B299&gt;$C$11,"", F298*$C$8)</f>
        <v/>
      </c>
      <c r="E299" s="20" t="str">
        <f t="shared" si="16"/>
        <v/>
      </c>
      <c r="F299" s="20" t="str">
        <f t="shared" si="17"/>
        <v/>
      </c>
      <c r="H299" s="20" t="str">
        <f>IF(B299&gt;$C$11,"", $C$10*($C$8*(1+$C$8)^$C$11)/((1+$C$8)^$C$11-1))</f>
        <v/>
      </c>
      <c r="I299" s="20" t="str">
        <f>IF(B299&gt;$C$11,"", H299-(J298*$C$8))</f>
        <v/>
      </c>
      <c r="J299" s="20" t="str">
        <f t="shared" si="18"/>
        <v/>
      </c>
    </row>
    <row r="300" spans="2:10" x14ac:dyDescent="0.3">
      <c r="B300" s="6">
        <v>284</v>
      </c>
      <c r="C300" s="20" t="str">
        <f t="shared" si="15"/>
        <v/>
      </c>
      <c r="D300" s="20" t="str">
        <f>IF(B300&gt;$C$11,"", F299*$C$8)</f>
        <v/>
      </c>
      <c r="E300" s="20" t="str">
        <f t="shared" si="16"/>
        <v/>
      </c>
      <c r="F300" s="20" t="str">
        <f t="shared" si="17"/>
        <v/>
      </c>
      <c r="H300" s="20" t="str">
        <f>IF(B300&gt;$C$11,"", $C$10*($C$8*(1+$C$8)^$C$11)/((1+$C$8)^$C$11-1))</f>
        <v/>
      </c>
      <c r="I300" s="20" t="str">
        <f>IF(B300&gt;$C$11,"", H300-(J299*$C$8))</f>
        <v/>
      </c>
      <c r="J300" s="20" t="str">
        <f t="shared" si="18"/>
        <v/>
      </c>
    </row>
    <row r="301" spans="2:10" x14ac:dyDescent="0.3">
      <c r="B301" s="6">
        <v>285</v>
      </c>
      <c r="C301" s="20" t="str">
        <f t="shared" si="15"/>
        <v/>
      </c>
      <c r="D301" s="20" t="str">
        <f>IF(B301&gt;$C$11,"", F300*$C$8)</f>
        <v/>
      </c>
      <c r="E301" s="20" t="str">
        <f t="shared" si="16"/>
        <v/>
      </c>
      <c r="F301" s="20" t="str">
        <f t="shared" si="17"/>
        <v/>
      </c>
      <c r="H301" s="20" t="str">
        <f>IF(B301&gt;$C$11,"", $C$10*($C$8*(1+$C$8)^$C$11)/((1+$C$8)^$C$11-1))</f>
        <v/>
      </c>
      <c r="I301" s="20" t="str">
        <f>IF(B301&gt;$C$11,"", H301-(J300*$C$8))</f>
        <v/>
      </c>
      <c r="J301" s="20" t="str">
        <f t="shared" si="18"/>
        <v/>
      </c>
    </row>
    <row r="302" spans="2:10" x14ac:dyDescent="0.3">
      <c r="B302" s="6">
        <v>286</v>
      </c>
      <c r="C302" s="20" t="str">
        <f t="shared" si="15"/>
        <v/>
      </c>
      <c r="D302" s="20" t="str">
        <f>IF(B302&gt;$C$11,"", F301*$C$8)</f>
        <v/>
      </c>
      <c r="E302" s="20" t="str">
        <f t="shared" si="16"/>
        <v/>
      </c>
      <c r="F302" s="20" t="str">
        <f t="shared" si="17"/>
        <v/>
      </c>
      <c r="H302" s="20" t="str">
        <f>IF(B302&gt;$C$11,"", $C$10*($C$8*(1+$C$8)^$C$11)/((1+$C$8)^$C$11-1))</f>
        <v/>
      </c>
      <c r="I302" s="20" t="str">
        <f>IF(B302&gt;$C$11,"", H302-(J301*$C$8))</f>
        <v/>
      </c>
      <c r="J302" s="20" t="str">
        <f t="shared" si="18"/>
        <v/>
      </c>
    </row>
    <row r="303" spans="2:10" x14ac:dyDescent="0.3">
      <c r="B303" s="6">
        <v>287</v>
      </c>
      <c r="C303" s="20" t="str">
        <f t="shared" si="15"/>
        <v/>
      </c>
      <c r="D303" s="20" t="str">
        <f>IF(B303&gt;$C$11,"", F302*$C$8)</f>
        <v/>
      </c>
      <c r="E303" s="20" t="str">
        <f t="shared" si="16"/>
        <v/>
      </c>
      <c r="F303" s="20" t="str">
        <f t="shared" si="17"/>
        <v/>
      </c>
      <c r="H303" s="20" t="str">
        <f>IF(B303&gt;$C$11,"", $C$10*($C$8*(1+$C$8)^$C$11)/((1+$C$8)^$C$11-1))</f>
        <v/>
      </c>
      <c r="I303" s="20" t="str">
        <f>IF(B303&gt;$C$11,"", H303-(J302*$C$8))</f>
        <v/>
      </c>
      <c r="J303" s="20" t="str">
        <f t="shared" si="18"/>
        <v/>
      </c>
    </row>
    <row r="304" spans="2:10" x14ac:dyDescent="0.3">
      <c r="B304" s="6">
        <v>288</v>
      </c>
      <c r="C304" s="20" t="str">
        <f t="shared" si="15"/>
        <v/>
      </c>
      <c r="D304" s="20" t="str">
        <f>IF(B304&gt;$C$11,"", F303*$C$8)</f>
        <v/>
      </c>
      <c r="E304" s="20" t="str">
        <f t="shared" si="16"/>
        <v/>
      </c>
      <c r="F304" s="20" t="str">
        <f t="shared" si="17"/>
        <v/>
      </c>
      <c r="H304" s="20" t="str">
        <f>IF(B304&gt;$C$11,"", $C$10*($C$8*(1+$C$8)^$C$11)/((1+$C$8)^$C$11-1))</f>
        <v/>
      </c>
      <c r="I304" s="20" t="str">
        <f>IF(B304&gt;$C$11,"", H304-(J303*$C$8))</f>
        <v/>
      </c>
      <c r="J304" s="20" t="str">
        <f t="shared" si="18"/>
        <v/>
      </c>
    </row>
    <row r="305" spans="2:10" x14ac:dyDescent="0.3">
      <c r="B305" s="6">
        <v>289</v>
      </c>
      <c r="C305" s="20" t="str">
        <f t="shared" si="15"/>
        <v/>
      </c>
      <c r="D305" s="20" t="str">
        <f>IF(B305&gt;$C$11,"", F304*$C$8)</f>
        <v/>
      </c>
      <c r="E305" s="20" t="str">
        <f t="shared" si="16"/>
        <v/>
      </c>
      <c r="F305" s="20" t="str">
        <f t="shared" si="17"/>
        <v/>
      </c>
      <c r="H305" s="20" t="str">
        <f>IF(B305&gt;$C$11,"", $C$10*($C$8*(1+$C$8)^$C$11)/((1+$C$8)^$C$11-1))</f>
        <v/>
      </c>
      <c r="I305" s="20" t="str">
        <f>IF(B305&gt;$C$11,"", H305-(J304*$C$8))</f>
        <v/>
      </c>
      <c r="J305" s="20" t="str">
        <f t="shared" si="18"/>
        <v/>
      </c>
    </row>
    <row r="306" spans="2:10" x14ac:dyDescent="0.3">
      <c r="B306" s="6">
        <v>290</v>
      </c>
      <c r="C306" s="20" t="str">
        <f t="shared" si="15"/>
        <v/>
      </c>
      <c r="D306" s="20" t="str">
        <f>IF(B306&gt;$C$11,"", F305*$C$8)</f>
        <v/>
      </c>
      <c r="E306" s="20" t="str">
        <f t="shared" si="16"/>
        <v/>
      </c>
      <c r="F306" s="20" t="str">
        <f t="shared" si="17"/>
        <v/>
      </c>
      <c r="H306" s="20" t="str">
        <f>IF(B306&gt;$C$11,"", $C$10*($C$8*(1+$C$8)^$C$11)/((1+$C$8)^$C$11-1))</f>
        <v/>
      </c>
      <c r="I306" s="20" t="str">
        <f>IF(B306&gt;$C$11,"", H306-(J305*$C$8))</f>
        <v/>
      </c>
      <c r="J306" s="20" t="str">
        <f t="shared" si="18"/>
        <v/>
      </c>
    </row>
    <row r="307" spans="2:10" x14ac:dyDescent="0.3">
      <c r="B307" s="6">
        <v>291</v>
      </c>
      <c r="C307" s="20" t="str">
        <f t="shared" si="15"/>
        <v/>
      </c>
      <c r="D307" s="20" t="str">
        <f>IF(B307&gt;$C$11,"", F306*$C$8)</f>
        <v/>
      </c>
      <c r="E307" s="20" t="str">
        <f t="shared" si="16"/>
        <v/>
      </c>
      <c r="F307" s="20" t="str">
        <f t="shared" si="17"/>
        <v/>
      </c>
      <c r="H307" s="20" t="str">
        <f>IF(B307&gt;$C$11,"", $C$10*($C$8*(1+$C$8)^$C$11)/((1+$C$8)^$C$11-1))</f>
        <v/>
      </c>
      <c r="I307" s="20" t="str">
        <f>IF(B307&gt;$C$11,"", H307-(J306*$C$8))</f>
        <v/>
      </c>
      <c r="J307" s="20" t="str">
        <f t="shared" si="18"/>
        <v/>
      </c>
    </row>
    <row r="308" spans="2:10" x14ac:dyDescent="0.3">
      <c r="B308" s="6">
        <v>292</v>
      </c>
      <c r="C308" s="20" t="str">
        <f t="shared" si="15"/>
        <v/>
      </c>
      <c r="D308" s="20" t="str">
        <f>IF(B308&gt;$C$11,"", F307*$C$8)</f>
        <v/>
      </c>
      <c r="E308" s="20" t="str">
        <f t="shared" si="16"/>
        <v/>
      </c>
      <c r="F308" s="20" t="str">
        <f t="shared" si="17"/>
        <v/>
      </c>
      <c r="H308" s="20" t="str">
        <f>IF(B308&gt;$C$11,"", $C$10*($C$8*(1+$C$8)^$C$11)/((1+$C$8)^$C$11-1))</f>
        <v/>
      </c>
      <c r="I308" s="20" t="str">
        <f>IF(B308&gt;$C$11,"", H308-(J307*$C$8))</f>
        <v/>
      </c>
      <c r="J308" s="20" t="str">
        <f t="shared" si="18"/>
        <v/>
      </c>
    </row>
    <row r="309" spans="2:10" x14ac:dyDescent="0.3">
      <c r="B309" s="6">
        <v>293</v>
      </c>
      <c r="C309" s="20" t="str">
        <f t="shared" si="15"/>
        <v/>
      </c>
      <c r="D309" s="20" t="str">
        <f>IF(B309&gt;$C$11,"", F308*$C$8)</f>
        <v/>
      </c>
      <c r="E309" s="20" t="str">
        <f t="shared" si="16"/>
        <v/>
      </c>
      <c r="F309" s="20" t="str">
        <f t="shared" si="17"/>
        <v/>
      </c>
      <c r="H309" s="20" t="str">
        <f>IF(B309&gt;$C$11,"", $C$10*($C$8*(1+$C$8)^$C$11)/((1+$C$8)^$C$11-1))</f>
        <v/>
      </c>
      <c r="I309" s="20" t="str">
        <f>IF(B309&gt;$C$11,"", H309-(J308*$C$8))</f>
        <v/>
      </c>
      <c r="J309" s="20" t="str">
        <f t="shared" si="18"/>
        <v/>
      </c>
    </row>
    <row r="310" spans="2:10" x14ac:dyDescent="0.3">
      <c r="B310" s="6">
        <v>294</v>
      </c>
      <c r="C310" s="20" t="str">
        <f t="shared" si="15"/>
        <v/>
      </c>
      <c r="D310" s="20" t="str">
        <f>IF(B310&gt;$C$11,"", F309*$C$8)</f>
        <v/>
      </c>
      <c r="E310" s="20" t="str">
        <f t="shared" si="16"/>
        <v/>
      </c>
      <c r="F310" s="20" t="str">
        <f t="shared" si="17"/>
        <v/>
      </c>
      <c r="H310" s="20" t="str">
        <f>IF(B310&gt;$C$11,"", $C$10*($C$8*(1+$C$8)^$C$11)/((1+$C$8)^$C$11-1))</f>
        <v/>
      </c>
      <c r="I310" s="20" t="str">
        <f>IF(B310&gt;$C$11,"", H310-(J309*$C$8))</f>
        <v/>
      </c>
      <c r="J310" s="20" t="str">
        <f t="shared" si="18"/>
        <v/>
      </c>
    </row>
    <row r="311" spans="2:10" x14ac:dyDescent="0.3">
      <c r="B311" s="6">
        <v>295</v>
      </c>
      <c r="C311" s="20" t="str">
        <f t="shared" si="15"/>
        <v/>
      </c>
      <c r="D311" s="20" t="str">
        <f>IF(B311&gt;$C$11,"", F310*$C$8)</f>
        <v/>
      </c>
      <c r="E311" s="20" t="str">
        <f t="shared" si="16"/>
        <v/>
      </c>
      <c r="F311" s="20" t="str">
        <f t="shared" si="17"/>
        <v/>
      </c>
      <c r="H311" s="20" t="str">
        <f>IF(B311&gt;$C$11,"", $C$10*($C$8*(1+$C$8)^$C$11)/((1+$C$8)^$C$11-1))</f>
        <v/>
      </c>
      <c r="I311" s="20" t="str">
        <f>IF(B311&gt;$C$11,"", H311-(J310*$C$8))</f>
        <v/>
      </c>
      <c r="J311" s="20" t="str">
        <f t="shared" si="18"/>
        <v/>
      </c>
    </row>
    <row r="312" spans="2:10" x14ac:dyDescent="0.3">
      <c r="B312" s="6">
        <v>296</v>
      </c>
      <c r="C312" s="20" t="str">
        <f t="shared" si="15"/>
        <v/>
      </c>
      <c r="D312" s="20" t="str">
        <f>IF(B312&gt;$C$11,"", F311*$C$8)</f>
        <v/>
      </c>
      <c r="E312" s="20" t="str">
        <f t="shared" si="16"/>
        <v/>
      </c>
      <c r="F312" s="20" t="str">
        <f t="shared" si="17"/>
        <v/>
      </c>
      <c r="H312" s="20" t="str">
        <f>IF(B312&gt;$C$11,"", $C$10*($C$8*(1+$C$8)^$C$11)/((1+$C$8)^$C$11-1))</f>
        <v/>
      </c>
      <c r="I312" s="20" t="str">
        <f>IF(B312&gt;$C$11,"", H312-(J311*$C$8))</f>
        <v/>
      </c>
      <c r="J312" s="20" t="str">
        <f t="shared" si="18"/>
        <v/>
      </c>
    </row>
    <row r="313" spans="2:10" x14ac:dyDescent="0.3">
      <c r="B313" s="6">
        <v>297</v>
      </c>
      <c r="C313" s="20" t="str">
        <f t="shared" si="15"/>
        <v/>
      </c>
      <c r="D313" s="20" t="str">
        <f>IF(B313&gt;$C$11,"", F312*$C$8)</f>
        <v/>
      </c>
      <c r="E313" s="20" t="str">
        <f t="shared" si="16"/>
        <v/>
      </c>
      <c r="F313" s="20" t="str">
        <f t="shared" si="17"/>
        <v/>
      </c>
      <c r="H313" s="20" t="str">
        <f>IF(B313&gt;$C$11,"", $C$10*($C$8*(1+$C$8)^$C$11)/((1+$C$8)^$C$11-1))</f>
        <v/>
      </c>
      <c r="I313" s="20" t="str">
        <f>IF(B313&gt;$C$11,"", H313-(J312*$C$8))</f>
        <v/>
      </c>
      <c r="J313" s="20" t="str">
        <f t="shared" si="18"/>
        <v/>
      </c>
    </row>
    <row r="314" spans="2:10" x14ac:dyDescent="0.3">
      <c r="B314" s="6">
        <v>298</v>
      </c>
      <c r="C314" s="20" t="str">
        <f t="shared" si="15"/>
        <v/>
      </c>
      <c r="D314" s="20" t="str">
        <f>IF(B314&gt;$C$11,"", F313*$C$8)</f>
        <v/>
      </c>
      <c r="E314" s="20" t="str">
        <f t="shared" si="16"/>
        <v/>
      </c>
      <c r="F314" s="20" t="str">
        <f t="shared" si="17"/>
        <v/>
      </c>
      <c r="H314" s="20" t="str">
        <f>IF(B314&gt;$C$11,"", $C$10*($C$8*(1+$C$8)^$C$11)/((1+$C$8)^$C$11-1))</f>
        <v/>
      </c>
      <c r="I314" s="20" t="str">
        <f>IF(B314&gt;$C$11,"", H314-(J313*$C$8))</f>
        <v/>
      </c>
      <c r="J314" s="20" t="str">
        <f t="shared" si="18"/>
        <v/>
      </c>
    </row>
    <row r="315" spans="2:10" x14ac:dyDescent="0.3">
      <c r="B315" s="6">
        <v>299</v>
      </c>
      <c r="C315" s="20" t="str">
        <f t="shared" si="15"/>
        <v/>
      </c>
      <c r="D315" s="20" t="str">
        <f>IF(B315&gt;$C$11,"", F314*$C$8)</f>
        <v/>
      </c>
      <c r="E315" s="20" t="str">
        <f t="shared" si="16"/>
        <v/>
      </c>
      <c r="F315" s="20" t="str">
        <f t="shared" si="17"/>
        <v/>
      </c>
      <c r="H315" s="20" t="str">
        <f>IF(B315&gt;$C$11,"", $C$10*($C$8*(1+$C$8)^$C$11)/((1+$C$8)^$C$11-1))</f>
        <v/>
      </c>
      <c r="I315" s="20" t="str">
        <f>IF(B315&gt;$C$11,"", H315-(J314*$C$8))</f>
        <v/>
      </c>
      <c r="J315" s="20" t="str">
        <f t="shared" si="18"/>
        <v/>
      </c>
    </row>
    <row r="316" spans="2:10" x14ac:dyDescent="0.3">
      <c r="B316" s="6">
        <v>300</v>
      </c>
      <c r="C316" s="20" t="str">
        <f t="shared" si="15"/>
        <v/>
      </c>
      <c r="D316" s="20" t="str">
        <f>IF(B316&gt;$C$11,"", F315*$C$8)</f>
        <v/>
      </c>
      <c r="E316" s="20" t="str">
        <f t="shared" si="16"/>
        <v/>
      </c>
      <c r="F316" s="20" t="str">
        <f t="shared" si="17"/>
        <v/>
      </c>
      <c r="H316" s="20" t="str">
        <f>IF(B316&gt;$C$11,"", $C$10*($C$8*(1+$C$8)^$C$11)/((1+$C$8)^$C$11-1))</f>
        <v/>
      </c>
      <c r="I316" s="20" t="str">
        <f>IF(B316&gt;$C$11,"", H316-(J315*$C$8))</f>
        <v/>
      </c>
      <c r="J316" s="20" t="str">
        <f t="shared" si="18"/>
        <v/>
      </c>
    </row>
    <row r="317" spans="2:10" x14ac:dyDescent="0.3">
      <c r="B317" s="6">
        <v>301</v>
      </c>
      <c r="C317" s="20" t="str">
        <f t="shared" si="15"/>
        <v/>
      </c>
      <c r="D317" s="20" t="str">
        <f>IF(B317&gt;$C$11,"", F316*$C$8)</f>
        <v/>
      </c>
      <c r="E317" s="20" t="str">
        <f t="shared" si="16"/>
        <v/>
      </c>
      <c r="F317" s="20" t="str">
        <f t="shared" si="17"/>
        <v/>
      </c>
      <c r="H317" s="20" t="str">
        <f>IF(B317&gt;$C$11,"", $C$10*($C$8*(1+$C$8)^$C$11)/((1+$C$8)^$C$11-1))</f>
        <v/>
      </c>
      <c r="I317" s="20" t="str">
        <f>IF(B317&gt;$C$11,"", H317-(J316*$C$8))</f>
        <v/>
      </c>
      <c r="J317" s="20" t="str">
        <f t="shared" si="18"/>
        <v/>
      </c>
    </row>
    <row r="318" spans="2:10" x14ac:dyDescent="0.3">
      <c r="B318" s="6">
        <v>302</v>
      </c>
      <c r="C318" s="20" t="str">
        <f t="shared" si="15"/>
        <v/>
      </c>
      <c r="D318" s="20" t="str">
        <f>IF(B318&gt;$C$11,"", F317*$C$8)</f>
        <v/>
      </c>
      <c r="E318" s="20" t="str">
        <f t="shared" si="16"/>
        <v/>
      </c>
      <c r="F318" s="20" t="str">
        <f t="shared" si="17"/>
        <v/>
      </c>
      <c r="H318" s="20" t="str">
        <f>IF(B318&gt;$C$11,"", $C$10*($C$8*(1+$C$8)^$C$11)/((1+$C$8)^$C$11-1))</f>
        <v/>
      </c>
      <c r="I318" s="20" t="str">
        <f>IF(B318&gt;$C$11,"", H318-(J317*$C$8))</f>
        <v/>
      </c>
      <c r="J318" s="20" t="str">
        <f t="shared" si="18"/>
        <v/>
      </c>
    </row>
    <row r="319" spans="2:10" x14ac:dyDescent="0.3">
      <c r="B319" s="6">
        <v>303</v>
      </c>
      <c r="C319" s="20" t="str">
        <f t="shared" si="15"/>
        <v/>
      </c>
      <c r="D319" s="20" t="str">
        <f>IF(B319&gt;$C$11,"", F318*$C$8)</f>
        <v/>
      </c>
      <c r="E319" s="20" t="str">
        <f t="shared" si="16"/>
        <v/>
      </c>
      <c r="F319" s="20" t="str">
        <f t="shared" si="17"/>
        <v/>
      </c>
      <c r="H319" s="20" t="str">
        <f>IF(B319&gt;$C$11,"", $C$10*($C$8*(1+$C$8)^$C$11)/((1+$C$8)^$C$11-1))</f>
        <v/>
      </c>
      <c r="I319" s="20" t="str">
        <f>IF(B319&gt;$C$11,"", H319-(J318*$C$8))</f>
        <v/>
      </c>
      <c r="J319" s="20" t="str">
        <f t="shared" si="18"/>
        <v/>
      </c>
    </row>
    <row r="320" spans="2:10" x14ac:dyDescent="0.3">
      <c r="B320" s="6">
        <v>304</v>
      </c>
      <c r="C320" s="20" t="str">
        <f t="shared" si="15"/>
        <v/>
      </c>
      <c r="D320" s="20" t="str">
        <f>IF(B320&gt;$C$11,"", F319*$C$8)</f>
        <v/>
      </c>
      <c r="E320" s="20" t="str">
        <f t="shared" si="16"/>
        <v/>
      </c>
      <c r="F320" s="20" t="str">
        <f t="shared" si="17"/>
        <v/>
      </c>
      <c r="H320" s="20" t="str">
        <f>IF(B320&gt;$C$11,"", $C$10*($C$8*(1+$C$8)^$C$11)/((1+$C$8)^$C$11-1))</f>
        <v/>
      </c>
      <c r="I320" s="20" t="str">
        <f>IF(B320&gt;$C$11,"", H320-(J319*$C$8))</f>
        <v/>
      </c>
      <c r="J320" s="20" t="str">
        <f t="shared" si="18"/>
        <v/>
      </c>
    </row>
    <row r="321" spans="2:10" x14ac:dyDescent="0.3">
      <c r="B321" s="6">
        <v>305</v>
      </c>
      <c r="C321" s="20" t="str">
        <f t="shared" si="15"/>
        <v/>
      </c>
      <c r="D321" s="20" t="str">
        <f>IF(B321&gt;$C$11,"", F320*$C$8)</f>
        <v/>
      </c>
      <c r="E321" s="20" t="str">
        <f t="shared" si="16"/>
        <v/>
      </c>
      <c r="F321" s="20" t="str">
        <f t="shared" si="17"/>
        <v/>
      </c>
      <c r="H321" s="20" t="str">
        <f>IF(B321&gt;$C$11,"", $C$10*($C$8*(1+$C$8)^$C$11)/((1+$C$8)^$C$11-1))</f>
        <v/>
      </c>
      <c r="I321" s="20" t="str">
        <f>IF(B321&gt;$C$11,"", H321-(J320*$C$8))</f>
        <v/>
      </c>
      <c r="J321" s="20" t="str">
        <f t="shared" si="18"/>
        <v/>
      </c>
    </row>
    <row r="322" spans="2:10" x14ac:dyDescent="0.3">
      <c r="B322" s="6">
        <v>306</v>
      </c>
      <c r="C322" s="20" t="str">
        <f t="shared" si="15"/>
        <v/>
      </c>
      <c r="D322" s="20" t="str">
        <f>IF(B322&gt;$C$11,"", F321*$C$8)</f>
        <v/>
      </c>
      <c r="E322" s="20" t="str">
        <f t="shared" si="16"/>
        <v/>
      </c>
      <c r="F322" s="20" t="str">
        <f t="shared" si="17"/>
        <v/>
      </c>
      <c r="H322" s="20" t="str">
        <f>IF(B322&gt;$C$11,"", $C$10*($C$8*(1+$C$8)^$C$11)/((1+$C$8)^$C$11-1))</f>
        <v/>
      </c>
      <c r="I322" s="20" t="str">
        <f>IF(B322&gt;$C$11,"", H322-(J321*$C$8))</f>
        <v/>
      </c>
      <c r="J322" s="20" t="str">
        <f t="shared" si="18"/>
        <v/>
      </c>
    </row>
    <row r="323" spans="2:10" x14ac:dyDescent="0.3">
      <c r="B323" s="6">
        <v>307</v>
      </c>
      <c r="C323" s="20" t="str">
        <f t="shared" si="15"/>
        <v/>
      </c>
      <c r="D323" s="20" t="str">
        <f>IF(B323&gt;$C$11,"", F322*$C$8)</f>
        <v/>
      </c>
      <c r="E323" s="20" t="str">
        <f t="shared" si="16"/>
        <v/>
      </c>
      <c r="F323" s="20" t="str">
        <f t="shared" si="17"/>
        <v/>
      </c>
      <c r="H323" s="20" t="str">
        <f>IF(B323&gt;$C$11,"", $C$10*($C$8*(1+$C$8)^$C$11)/((1+$C$8)^$C$11-1))</f>
        <v/>
      </c>
      <c r="I323" s="20" t="str">
        <f>IF(B323&gt;$C$11,"", H323-(J322*$C$8))</f>
        <v/>
      </c>
      <c r="J323" s="20" t="str">
        <f t="shared" si="18"/>
        <v/>
      </c>
    </row>
    <row r="324" spans="2:10" x14ac:dyDescent="0.3">
      <c r="B324" s="6">
        <v>308</v>
      </c>
      <c r="C324" s="20" t="str">
        <f t="shared" si="15"/>
        <v/>
      </c>
      <c r="D324" s="20" t="str">
        <f>IF(B324&gt;$C$11,"", F323*$C$8)</f>
        <v/>
      </c>
      <c r="E324" s="20" t="str">
        <f t="shared" si="16"/>
        <v/>
      </c>
      <c r="F324" s="20" t="str">
        <f t="shared" si="17"/>
        <v/>
      </c>
      <c r="H324" s="20" t="str">
        <f>IF(B324&gt;$C$11,"", $C$10*($C$8*(1+$C$8)^$C$11)/((1+$C$8)^$C$11-1))</f>
        <v/>
      </c>
      <c r="I324" s="20" t="str">
        <f>IF(B324&gt;$C$11,"", H324-(J323*$C$8))</f>
        <v/>
      </c>
      <c r="J324" s="20" t="str">
        <f t="shared" si="18"/>
        <v/>
      </c>
    </row>
    <row r="325" spans="2:10" x14ac:dyDescent="0.3">
      <c r="B325" s="6">
        <v>309</v>
      </c>
      <c r="C325" s="20" t="str">
        <f t="shared" si="15"/>
        <v/>
      </c>
      <c r="D325" s="20" t="str">
        <f>IF(B325&gt;$C$11,"", F324*$C$8)</f>
        <v/>
      </c>
      <c r="E325" s="20" t="str">
        <f t="shared" si="16"/>
        <v/>
      </c>
      <c r="F325" s="20" t="str">
        <f t="shared" si="17"/>
        <v/>
      </c>
      <c r="H325" s="20" t="str">
        <f>IF(B325&gt;$C$11,"", $C$10*($C$8*(1+$C$8)^$C$11)/((1+$C$8)^$C$11-1))</f>
        <v/>
      </c>
      <c r="I325" s="20" t="str">
        <f>IF(B325&gt;$C$11,"", H325-(J324*$C$8))</f>
        <v/>
      </c>
      <c r="J325" s="20" t="str">
        <f t="shared" si="18"/>
        <v/>
      </c>
    </row>
    <row r="326" spans="2:10" x14ac:dyDescent="0.3">
      <c r="B326" s="6">
        <v>310</v>
      </c>
      <c r="C326" s="20" t="str">
        <f t="shared" si="15"/>
        <v/>
      </c>
      <c r="D326" s="20" t="str">
        <f>IF(B326&gt;$C$11,"", F325*$C$8)</f>
        <v/>
      </c>
      <c r="E326" s="20" t="str">
        <f t="shared" si="16"/>
        <v/>
      </c>
      <c r="F326" s="20" t="str">
        <f t="shared" si="17"/>
        <v/>
      </c>
      <c r="H326" s="20" t="str">
        <f>IF(B326&gt;$C$11,"", $C$10*($C$8*(1+$C$8)^$C$11)/((1+$C$8)^$C$11-1))</f>
        <v/>
      </c>
      <c r="I326" s="20" t="str">
        <f>IF(B326&gt;$C$11,"", H326-(J325*$C$8))</f>
        <v/>
      </c>
      <c r="J326" s="20" t="str">
        <f t="shared" si="18"/>
        <v/>
      </c>
    </row>
    <row r="327" spans="2:10" x14ac:dyDescent="0.3">
      <c r="B327" s="6">
        <v>311</v>
      </c>
      <c r="C327" s="20" t="str">
        <f t="shared" si="15"/>
        <v/>
      </c>
      <c r="D327" s="20" t="str">
        <f>IF(B327&gt;$C$11,"", F326*$C$8)</f>
        <v/>
      </c>
      <c r="E327" s="20" t="str">
        <f t="shared" si="16"/>
        <v/>
      </c>
      <c r="F327" s="20" t="str">
        <f t="shared" si="17"/>
        <v/>
      </c>
      <c r="H327" s="20" t="str">
        <f>IF(B327&gt;$C$11,"", $C$10*($C$8*(1+$C$8)^$C$11)/((1+$C$8)^$C$11-1))</f>
        <v/>
      </c>
      <c r="I327" s="20" t="str">
        <f>IF(B327&gt;$C$11,"", H327-(J326*$C$8))</f>
        <v/>
      </c>
      <c r="J327" s="20" t="str">
        <f t="shared" si="18"/>
        <v/>
      </c>
    </row>
    <row r="328" spans="2:10" x14ac:dyDescent="0.3">
      <c r="B328" s="6">
        <v>312</v>
      </c>
      <c r="C328" s="20" t="str">
        <f t="shared" si="15"/>
        <v/>
      </c>
      <c r="D328" s="20" t="str">
        <f>IF(B328&gt;$C$11,"", F327*$C$8)</f>
        <v/>
      </c>
      <c r="E328" s="20" t="str">
        <f t="shared" si="16"/>
        <v/>
      </c>
      <c r="F328" s="20" t="str">
        <f t="shared" si="17"/>
        <v/>
      </c>
      <c r="H328" s="20" t="str">
        <f>IF(B328&gt;$C$11,"", $C$10*($C$8*(1+$C$8)^$C$11)/((1+$C$8)^$C$11-1))</f>
        <v/>
      </c>
      <c r="I328" s="20" t="str">
        <f>IF(B328&gt;$C$11,"", H328-(J327*$C$8))</f>
        <v/>
      </c>
      <c r="J328" s="20" t="str">
        <f t="shared" si="18"/>
        <v/>
      </c>
    </row>
    <row r="329" spans="2:10" x14ac:dyDescent="0.3">
      <c r="B329" s="6">
        <v>313</v>
      </c>
      <c r="C329" s="20" t="str">
        <f t="shared" si="15"/>
        <v/>
      </c>
      <c r="D329" s="20" t="str">
        <f>IF(B329&gt;$C$11,"", F328*$C$8)</f>
        <v/>
      </c>
      <c r="E329" s="20" t="str">
        <f t="shared" si="16"/>
        <v/>
      </c>
      <c r="F329" s="20" t="str">
        <f t="shared" si="17"/>
        <v/>
      </c>
      <c r="H329" s="20" t="str">
        <f>IF(B329&gt;$C$11,"", $C$10*($C$8*(1+$C$8)^$C$11)/((1+$C$8)^$C$11-1))</f>
        <v/>
      </c>
      <c r="I329" s="20" t="str">
        <f>IF(B329&gt;$C$11,"", H329-(J328*$C$8))</f>
        <v/>
      </c>
      <c r="J329" s="20" t="str">
        <f t="shared" si="18"/>
        <v/>
      </c>
    </row>
    <row r="330" spans="2:10" x14ac:dyDescent="0.3">
      <c r="B330" s="6">
        <v>314</v>
      </c>
      <c r="C330" s="20" t="str">
        <f t="shared" si="15"/>
        <v/>
      </c>
      <c r="D330" s="20" t="str">
        <f>IF(B330&gt;$C$11,"", F329*$C$8)</f>
        <v/>
      </c>
      <c r="E330" s="20" t="str">
        <f t="shared" si="16"/>
        <v/>
      </c>
      <c r="F330" s="20" t="str">
        <f t="shared" si="17"/>
        <v/>
      </c>
      <c r="H330" s="20" t="str">
        <f>IF(B330&gt;$C$11,"", $C$10*($C$8*(1+$C$8)^$C$11)/((1+$C$8)^$C$11-1))</f>
        <v/>
      </c>
      <c r="I330" s="20" t="str">
        <f>IF(B330&gt;$C$11,"", H330-(J329*$C$8))</f>
        <v/>
      </c>
      <c r="J330" s="20" t="str">
        <f t="shared" si="18"/>
        <v/>
      </c>
    </row>
    <row r="331" spans="2:10" x14ac:dyDescent="0.3">
      <c r="B331" s="6">
        <v>315</v>
      </c>
      <c r="C331" s="20" t="str">
        <f t="shared" si="15"/>
        <v/>
      </c>
      <c r="D331" s="20" t="str">
        <f>IF(B331&gt;$C$11,"", F330*$C$8)</f>
        <v/>
      </c>
      <c r="E331" s="20" t="str">
        <f t="shared" si="16"/>
        <v/>
      </c>
      <c r="F331" s="20" t="str">
        <f t="shared" si="17"/>
        <v/>
      </c>
      <c r="H331" s="20" t="str">
        <f>IF(B331&gt;$C$11,"", $C$10*($C$8*(1+$C$8)^$C$11)/((1+$C$8)^$C$11-1))</f>
        <v/>
      </c>
      <c r="I331" s="20" t="str">
        <f>IF(B331&gt;$C$11,"", H331-(J330*$C$8))</f>
        <v/>
      </c>
      <c r="J331" s="20" t="str">
        <f t="shared" si="18"/>
        <v/>
      </c>
    </row>
    <row r="332" spans="2:10" x14ac:dyDescent="0.3">
      <c r="B332" s="6">
        <v>316</v>
      </c>
      <c r="C332" s="20" t="str">
        <f t="shared" si="15"/>
        <v/>
      </c>
      <c r="D332" s="20" t="str">
        <f>IF(B332&gt;$C$11,"", F331*$C$8)</f>
        <v/>
      </c>
      <c r="E332" s="20" t="str">
        <f t="shared" si="16"/>
        <v/>
      </c>
      <c r="F332" s="20" t="str">
        <f t="shared" si="17"/>
        <v/>
      </c>
      <c r="H332" s="20" t="str">
        <f>IF(B332&gt;$C$11,"", $C$10*($C$8*(1+$C$8)^$C$11)/((1+$C$8)^$C$11-1))</f>
        <v/>
      </c>
      <c r="I332" s="20" t="str">
        <f>IF(B332&gt;$C$11,"", H332-(J331*$C$8))</f>
        <v/>
      </c>
      <c r="J332" s="20" t="str">
        <f t="shared" si="18"/>
        <v/>
      </c>
    </row>
    <row r="333" spans="2:10" x14ac:dyDescent="0.3">
      <c r="B333" s="6">
        <v>317</v>
      </c>
      <c r="C333" s="20" t="str">
        <f t="shared" si="15"/>
        <v/>
      </c>
      <c r="D333" s="20" t="str">
        <f>IF(B333&gt;$C$11,"", F332*$C$8)</f>
        <v/>
      </c>
      <c r="E333" s="20" t="str">
        <f t="shared" si="16"/>
        <v/>
      </c>
      <c r="F333" s="20" t="str">
        <f t="shared" si="17"/>
        <v/>
      </c>
      <c r="H333" s="20" t="str">
        <f>IF(B333&gt;$C$11,"", $C$10*($C$8*(1+$C$8)^$C$11)/((1+$C$8)^$C$11-1))</f>
        <v/>
      </c>
      <c r="I333" s="20" t="str">
        <f>IF(B333&gt;$C$11,"", H333-(J332*$C$8))</f>
        <v/>
      </c>
      <c r="J333" s="20" t="str">
        <f t="shared" si="18"/>
        <v/>
      </c>
    </row>
    <row r="334" spans="2:10" x14ac:dyDescent="0.3">
      <c r="B334" s="6">
        <v>318</v>
      </c>
      <c r="C334" s="20" t="str">
        <f t="shared" si="15"/>
        <v/>
      </c>
      <c r="D334" s="20" t="str">
        <f>IF(B334&gt;$C$11,"", F333*$C$8)</f>
        <v/>
      </c>
      <c r="E334" s="20" t="str">
        <f t="shared" si="16"/>
        <v/>
      </c>
      <c r="F334" s="20" t="str">
        <f t="shared" si="17"/>
        <v/>
      </c>
      <c r="H334" s="20" t="str">
        <f>IF(B334&gt;$C$11,"", $C$10*($C$8*(1+$C$8)^$C$11)/((1+$C$8)^$C$11-1))</f>
        <v/>
      </c>
      <c r="I334" s="20" t="str">
        <f>IF(B334&gt;$C$11,"", H334-(J333*$C$8))</f>
        <v/>
      </c>
      <c r="J334" s="20" t="str">
        <f t="shared" si="18"/>
        <v/>
      </c>
    </row>
    <row r="335" spans="2:10" x14ac:dyDescent="0.3">
      <c r="B335" s="6">
        <v>319</v>
      </c>
      <c r="C335" s="20" t="str">
        <f t="shared" si="15"/>
        <v/>
      </c>
      <c r="D335" s="20" t="str">
        <f>IF(B335&gt;$C$11,"", F334*$C$8)</f>
        <v/>
      </c>
      <c r="E335" s="20" t="str">
        <f t="shared" si="16"/>
        <v/>
      </c>
      <c r="F335" s="20" t="str">
        <f t="shared" si="17"/>
        <v/>
      </c>
      <c r="H335" s="20" t="str">
        <f>IF(B335&gt;$C$11,"", $C$10*($C$8*(1+$C$8)^$C$11)/((1+$C$8)^$C$11-1))</f>
        <v/>
      </c>
      <c r="I335" s="20" t="str">
        <f>IF(B335&gt;$C$11,"", H335-(J334*$C$8))</f>
        <v/>
      </c>
      <c r="J335" s="20" t="str">
        <f t="shared" si="18"/>
        <v/>
      </c>
    </row>
    <row r="336" spans="2:10" x14ac:dyDescent="0.3">
      <c r="B336" s="6">
        <v>320</v>
      </c>
      <c r="C336" s="20" t="str">
        <f t="shared" si="15"/>
        <v/>
      </c>
      <c r="D336" s="20" t="str">
        <f>IF(B336&gt;$C$11,"", F335*$C$8)</f>
        <v/>
      </c>
      <c r="E336" s="20" t="str">
        <f t="shared" si="16"/>
        <v/>
      </c>
      <c r="F336" s="20" t="str">
        <f t="shared" si="17"/>
        <v/>
      </c>
      <c r="H336" s="20" t="str">
        <f>IF(B336&gt;$C$11,"", $C$10*($C$8*(1+$C$8)^$C$11)/((1+$C$8)^$C$11-1))</f>
        <v/>
      </c>
      <c r="I336" s="20" t="str">
        <f>IF(B336&gt;$C$11,"", H336-(J335*$C$8))</f>
        <v/>
      </c>
      <c r="J336" s="20" t="str">
        <f t="shared" si="18"/>
        <v/>
      </c>
    </row>
    <row r="337" spans="2:10" x14ac:dyDescent="0.3">
      <c r="B337" s="6">
        <v>321</v>
      </c>
      <c r="C337" s="20" t="str">
        <f t="shared" ref="C337:C400" si="19">IF(B337&gt;$C$11,"", $C$10/$C$11)</f>
        <v/>
      </c>
      <c r="D337" s="20" t="str">
        <f>IF(B337&gt;$C$11,"", F336*$C$8)</f>
        <v/>
      </c>
      <c r="E337" s="20" t="str">
        <f t="shared" ref="E337:E400" si="20">IF(B337&gt;$C$11,"", C337+D337)</f>
        <v/>
      </c>
      <c r="F337" s="20" t="str">
        <f t="shared" si="17"/>
        <v/>
      </c>
      <c r="H337" s="20" t="str">
        <f>IF(B337&gt;$C$11,"", $C$10*($C$8*(1+$C$8)^$C$11)/((1+$C$8)^$C$11-1))</f>
        <v/>
      </c>
      <c r="I337" s="20" t="str">
        <f>IF(B337&gt;$C$11,"", H337-(J336*$C$8))</f>
        <v/>
      </c>
      <c r="J337" s="20" t="str">
        <f t="shared" si="18"/>
        <v/>
      </c>
    </row>
    <row r="338" spans="2:10" x14ac:dyDescent="0.3">
      <c r="B338" s="6">
        <v>322</v>
      </c>
      <c r="C338" s="20" t="str">
        <f t="shared" si="19"/>
        <v/>
      </c>
      <c r="D338" s="20" t="str">
        <f>IF(B338&gt;$C$11,"", F337*$C$8)</f>
        <v/>
      </c>
      <c r="E338" s="20" t="str">
        <f t="shared" si="20"/>
        <v/>
      </c>
      <c r="F338" s="20" t="str">
        <f t="shared" ref="F338:F376" si="21">IF(B338&gt;$C$11,"", F337-C338)</f>
        <v/>
      </c>
      <c r="H338" s="20" t="str">
        <f>IF(B338&gt;$C$11,"", $C$10*($C$8*(1+$C$8)^$C$11)/((1+$C$8)^$C$11-1))</f>
        <v/>
      </c>
      <c r="I338" s="20" t="str">
        <f>IF(B338&gt;$C$11,"", H338-(J337*$C$8))</f>
        <v/>
      </c>
      <c r="J338" s="20" t="str">
        <f t="shared" ref="J338:J401" si="22">IF(B338&gt;$C$11,"", J337-I338)</f>
        <v/>
      </c>
    </row>
    <row r="339" spans="2:10" x14ac:dyDescent="0.3">
      <c r="B339" s="6">
        <v>323</v>
      </c>
      <c r="C339" s="20" t="str">
        <f t="shared" si="19"/>
        <v/>
      </c>
      <c r="D339" s="20" t="str">
        <f>IF(B339&gt;$C$11,"", F338*$C$8)</f>
        <v/>
      </c>
      <c r="E339" s="20" t="str">
        <f t="shared" si="20"/>
        <v/>
      </c>
      <c r="F339" s="20" t="str">
        <f t="shared" si="21"/>
        <v/>
      </c>
      <c r="H339" s="20" t="str">
        <f>IF(B339&gt;$C$11,"", $C$10*($C$8*(1+$C$8)^$C$11)/((1+$C$8)^$C$11-1))</f>
        <v/>
      </c>
      <c r="I339" s="20" t="str">
        <f>IF(B339&gt;$C$11,"", H339-(J338*$C$8))</f>
        <v/>
      </c>
      <c r="J339" s="20" t="str">
        <f t="shared" si="22"/>
        <v/>
      </c>
    </row>
    <row r="340" spans="2:10" x14ac:dyDescent="0.3">
      <c r="B340" s="6">
        <v>324</v>
      </c>
      <c r="C340" s="20" t="str">
        <f t="shared" si="19"/>
        <v/>
      </c>
      <c r="D340" s="20" t="str">
        <f>IF(B340&gt;$C$11,"", F339*$C$8)</f>
        <v/>
      </c>
      <c r="E340" s="20" t="str">
        <f t="shared" si="20"/>
        <v/>
      </c>
      <c r="F340" s="20" t="str">
        <f t="shared" si="21"/>
        <v/>
      </c>
      <c r="H340" s="20" t="str">
        <f>IF(B340&gt;$C$11,"", $C$10*($C$8*(1+$C$8)^$C$11)/((1+$C$8)^$C$11-1))</f>
        <v/>
      </c>
      <c r="I340" s="20" t="str">
        <f>IF(B340&gt;$C$11,"", H340-(J339*$C$8))</f>
        <v/>
      </c>
      <c r="J340" s="20" t="str">
        <f t="shared" si="22"/>
        <v/>
      </c>
    </row>
    <row r="341" spans="2:10" x14ac:dyDescent="0.3">
      <c r="B341" s="6">
        <v>325</v>
      </c>
      <c r="C341" s="20" t="str">
        <f t="shared" si="19"/>
        <v/>
      </c>
      <c r="D341" s="20" t="str">
        <f>IF(B341&gt;$C$11,"", F340*$C$8)</f>
        <v/>
      </c>
      <c r="E341" s="20" t="str">
        <f t="shared" si="20"/>
        <v/>
      </c>
      <c r="F341" s="20" t="str">
        <f t="shared" si="21"/>
        <v/>
      </c>
      <c r="H341" s="20" t="str">
        <f>IF(B341&gt;$C$11,"", $C$10*($C$8*(1+$C$8)^$C$11)/((1+$C$8)^$C$11-1))</f>
        <v/>
      </c>
      <c r="I341" s="20" t="str">
        <f>IF(B341&gt;$C$11,"", H341-(J340*$C$8))</f>
        <v/>
      </c>
      <c r="J341" s="20" t="str">
        <f t="shared" si="22"/>
        <v/>
      </c>
    </row>
    <row r="342" spans="2:10" x14ac:dyDescent="0.3">
      <c r="B342" s="6">
        <v>326</v>
      </c>
      <c r="C342" s="20" t="str">
        <f t="shared" si="19"/>
        <v/>
      </c>
      <c r="D342" s="20" t="str">
        <f>IF(B342&gt;$C$11,"", F341*$C$8)</f>
        <v/>
      </c>
      <c r="E342" s="20" t="str">
        <f t="shared" si="20"/>
        <v/>
      </c>
      <c r="F342" s="20" t="str">
        <f t="shared" si="21"/>
        <v/>
      </c>
      <c r="H342" s="20" t="str">
        <f>IF(B342&gt;$C$11,"", $C$10*($C$8*(1+$C$8)^$C$11)/((1+$C$8)^$C$11-1))</f>
        <v/>
      </c>
      <c r="I342" s="20" t="str">
        <f>IF(B342&gt;$C$11,"", H342-(J341*$C$8))</f>
        <v/>
      </c>
      <c r="J342" s="20" t="str">
        <f t="shared" si="22"/>
        <v/>
      </c>
    </row>
    <row r="343" spans="2:10" x14ac:dyDescent="0.3">
      <c r="B343" s="6">
        <v>327</v>
      </c>
      <c r="C343" s="20" t="str">
        <f t="shared" si="19"/>
        <v/>
      </c>
      <c r="D343" s="20" t="str">
        <f>IF(B343&gt;$C$11,"", F342*$C$8)</f>
        <v/>
      </c>
      <c r="E343" s="20" t="str">
        <f t="shared" si="20"/>
        <v/>
      </c>
      <c r="F343" s="20" t="str">
        <f t="shared" si="21"/>
        <v/>
      </c>
      <c r="H343" s="20" t="str">
        <f>IF(B343&gt;$C$11,"", $C$10*($C$8*(1+$C$8)^$C$11)/((1+$C$8)^$C$11-1))</f>
        <v/>
      </c>
      <c r="I343" s="20" t="str">
        <f>IF(B343&gt;$C$11,"", H343-(J342*$C$8))</f>
        <v/>
      </c>
      <c r="J343" s="20" t="str">
        <f t="shared" si="22"/>
        <v/>
      </c>
    </row>
    <row r="344" spans="2:10" x14ac:dyDescent="0.3">
      <c r="B344" s="6">
        <v>328</v>
      </c>
      <c r="C344" s="20" t="str">
        <f t="shared" si="19"/>
        <v/>
      </c>
      <c r="D344" s="20" t="str">
        <f>IF(B344&gt;$C$11,"", F343*$C$8)</f>
        <v/>
      </c>
      <c r="E344" s="20" t="str">
        <f t="shared" si="20"/>
        <v/>
      </c>
      <c r="F344" s="20" t="str">
        <f t="shared" si="21"/>
        <v/>
      </c>
      <c r="H344" s="20" t="str">
        <f>IF(B344&gt;$C$11,"", $C$10*($C$8*(1+$C$8)^$C$11)/((1+$C$8)^$C$11-1))</f>
        <v/>
      </c>
      <c r="I344" s="20" t="str">
        <f>IF(B344&gt;$C$11,"", H344-(J343*$C$8))</f>
        <v/>
      </c>
      <c r="J344" s="20" t="str">
        <f t="shared" si="22"/>
        <v/>
      </c>
    </row>
    <row r="345" spans="2:10" x14ac:dyDescent="0.3">
      <c r="B345" s="6">
        <v>329</v>
      </c>
      <c r="C345" s="20" t="str">
        <f t="shared" si="19"/>
        <v/>
      </c>
      <c r="D345" s="20" t="str">
        <f>IF(B345&gt;$C$11,"", F344*$C$8)</f>
        <v/>
      </c>
      <c r="E345" s="20" t="str">
        <f t="shared" si="20"/>
        <v/>
      </c>
      <c r="F345" s="20" t="str">
        <f t="shared" si="21"/>
        <v/>
      </c>
      <c r="H345" s="20" t="str">
        <f>IF(B345&gt;$C$11,"", $C$10*($C$8*(1+$C$8)^$C$11)/((1+$C$8)^$C$11-1))</f>
        <v/>
      </c>
      <c r="I345" s="20" t="str">
        <f>IF(B345&gt;$C$11,"", H345-(J344*$C$8))</f>
        <v/>
      </c>
      <c r="J345" s="20" t="str">
        <f t="shared" si="22"/>
        <v/>
      </c>
    </row>
    <row r="346" spans="2:10" x14ac:dyDescent="0.3">
      <c r="B346" s="6">
        <v>330</v>
      </c>
      <c r="C346" s="20" t="str">
        <f t="shared" si="19"/>
        <v/>
      </c>
      <c r="D346" s="20" t="str">
        <f>IF(B346&gt;$C$11,"", F345*$C$8)</f>
        <v/>
      </c>
      <c r="E346" s="20" t="str">
        <f t="shared" si="20"/>
        <v/>
      </c>
      <c r="F346" s="20" t="str">
        <f t="shared" si="21"/>
        <v/>
      </c>
      <c r="H346" s="20" t="str">
        <f>IF(B346&gt;$C$11,"", $C$10*($C$8*(1+$C$8)^$C$11)/((1+$C$8)^$C$11-1))</f>
        <v/>
      </c>
      <c r="I346" s="20" t="str">
        <f>IF(B346&gt;$C$11,"", H346-(J345*$C$8))</f>
        <v/>
      </c>
      <c r="J346" s="20" t="str">
        <f t="shared" si="22"/>
        <v/>
      </c>
    </row>
    <row r="347" spans="2:10" x14ac:dyDescent="0.3">
      <c r="B347" s="6">
        <v>331</v>
      </c>
      <c r="C347" s="20" t="str">
        <f t="shared" si="19"/>
        <v/>
      </c>
      <c r="D347" s="20" t="str">
        <f>IF(B347&gt;$C$11,"", F346*$C$8)</f>
        <v/>
      </c>
      <c r="E347" s="20" t="str">
        <f t="shared" si="20"/>
        <v/>
      </c>
      <c r="F347" s="20" t="str">
        <f t="shared" si="21"/>
        <v/>
      </c>
      <c r="H347" s="20" t="str">
        <f>IF(B347&gt;$C$11,"", $C$10*($C$8*(1+$C$8)^$C$11)/((1+$C$8)^$C$11-1))</f>
        <v/>
      </c>
      <c r="I347" s="20" t="str">
        <f>IF(B347&gt;$C$11,"", H347-(J346*$C$8))</f>
        <v/>
      </c>
      <c r="J347" s="20" t="str">
        <f t="shared" si="22"/>
        <v/>
      </c>
    </row>
    <row r="348" spans="2:10" x14ac:dyDescent="0.3">
      <c r="B348" s="6">
        <v>332</v>
      </c>
      <c r="C348" s="20" t="str">
        <f t="shared" si="19"/>
        <v/>
      </c>
      <c r="D348" s="20" t="str">
        <f>IF(B348&gt;$C$11,"", F347*$C$8)</f>
        <v/>
      </c>
      <c r="E348" s="20" t="str">
        <f t="shared" si="20"/>
        <v/>
      </c>
      <c r="F348" s="20" t="str">
        <f t="shared" si="21"/>
        <v/>
      </c>
      <c r="H348" s="20" t="str">
        <f>IF(B348&gt;$C$11,"", $C$10*($C$8*(1+$C$8)^$C$11)/((1+$C$8)^$C$11-1))</f>
        <v/>
      </c>
      <c r="I348" s="20" t="str">
        <f>IF(B348&gt;$C$11,"", H348-(J347*$C$8))</f>
        <v/>
      </c>
      <c r="J348" s="20" t="str">
        <f t="shared" si="22"/>
        <v/>
      </c>
    </row>
    <row r="349" spans="2:10" x14ac:dyDescent="0.3">
      <c r="B349" s="6">
        <v>333</v>
      </c>
      <c r="C349" s="20" t="str">
        <f t="shared" si="19"/>
        <v/>
      </c>
      <c r="D349" s="20" t="str">
        <f>IF(B349&gt;$C$11,"", F348*$C$8)</f>
        <v/>
      </c>
      <c r="E349" s="20" t="str">
        <f t="shared" si="20"/>
        <v/>
      </c>
      <c r="F349" s="20" t="str">
        <f t="shared" si="21"/>
        <v/>
      </c>
      <c r="H349" s="20" t="str">
        <f>IF(B349&gt;$C$11,"", $C$10*($C$8*(1+$C$8)^$C$11)/((1+$C$8)^$C$11-1))</f>
        <v/>
      </c>
      <c r="I349" s="20" t="str">
        <f>IF(B349&gt;$C$11,"", H349-(J348*$C$8))</f>
        <v/>
      </c>
      <c r="J349" s="20" t="str">
        <f t="shared" si="22"/>
        <v/>
      </c>
    </row>
    <row r="350" spans="2:10" x14ac:dyDescent="0.3">
      <c r="B350" s="6">
        <v>334</v>
      </c>
      <c r="C350" s="20" t="str">
        <f t="shared" si="19"/>
        <v/>
      </c>
      <c r="D350" s="20" t="str">
        <f>IF(B350&gt;$C$11,"", F349*$C$8)</f>
        <v/>
      </c>
      <c r="E350" s="20" t="str">
        <f t="shared" si="20"/>
        <v/>
      </c>
      <c r="F350" s="20" t="str">
        <f t="shared" si="21"/>
        <v/>
      </c>
      <c r="H350" s="20" t="str">
        <f>IF(B350&gt;$C$11,"", $C$10*($C$8*(1+$C$8)^$C$11)/((1+$C$8)^$C$11-1))</f>
        <v/>
      </c>
      <c r="I350" s="20" t="str">
        <f>IF(B350&gt;$C$11,"", H350-(J349*$C$8))</f>
        <v/>
      </c>
      <c r="J350" s="20" t="str">
        <f t="shared" si="22"/>
        <v/>
      </c>
    </row>
    <row r="351" spans="2:10" x14ac:dyDescent="0.3">
      <c r="B351" s="6">
        <v>335</v>
      </c>
      <c r="C351" s="20" t="str">
        <f t="shared" si="19"/>
        <v/>
      </c>
      <c r="D351" s="20" t="str">
        <f>IF(B351&gt;$C$11,"", F350*$C$8)</f>
        <v/>
      </c>
      <c r="E351" s="20" t="str">
        <f t="shared" si="20"/>
        <v/>
      </c>
      <c r="F351" s="20" t="str">
        <f t="shared" si="21"/>
        <v/>
      </c>
      <c r="H351" s="20" t="str">
        <f>IF(B351&gt;$C$11,"", $C$10*($C$8*(1+$C$8)^$C$11)/((1+$C$8)^$C$11-1))</f>
        <v/>
      </c>
      <c r="I351" s="20" t="str">
        <f>IF(B351&gt;$C$11,"", H351-(J350*$C$8))</f>
        <v/>
      </c>
      <c r="J351" s="20" t="str">
        <f t="shared" si="22"/>
        <v/>
      </c>
    </row>
    <row r="352" spans="2:10" x14ac:dyDescent="0.3">
      <c r="B352" s="6">
        <v>336</v>
      </c>
      <c r="C352" s="20" t="str">
        <f t="shared" si="19"/>
        <v/>
      </c>
      <c r="D352" s="20" t="str">
        <f>IF(B352&gt;$C$11,"", F351*$C$8)</f>
        <v/>
      </c>
      <c r="E352" s="20" t="str">
        <f t="shared" si="20"/>
        <v/>
      </c>
      <c r="F352" s="20" t="str">
        <f t="shared" si="21"/>
        <v/>
      </c>
      <c r="H352" s="20" t="str">
        <f>IF(B352&gt;$C$11,"", $C$10*($C$8*(1+$C$8)^$C$11)/((1+$C$8)^$C$11-1))</f>
        <v/>
      </c>
      <c r="I352" s="20" t="str">
        <f>IF(B352&gt;$C$11,"", H352-(J351*$C$8))</f>
        <v/>
      </c>
      <c r="J352" s="20" t="str">
        <f t="shared" si="22"/>
        <v/>
      </c>
    </row>
    <row r="353" spans="2:10" x14ac:dyDescent="0.3">
      <c r="B353" s="6">
        <v>337</v>
      </c>
      <c r="C353" s="20" t="str">
        <f t="shared" si="19"/>
        <v/>
      </c>
      <c r="D353" s="20" t="str">
        <f>IF(B353&gt;$C$11,"", F352*$C$8)</f>
        <v/>
      </c>
      <c r="E353" s="20" t="str">
        <f t="shared" si="20"/>
        <v/>
      </c>
      <c r="F353" s="20" t="str">
        <f t="shared" si="21"/>
        <v/>
      </c>
      <c r="H353" s="20" t="str">
        <f>IF(B353&gt;$C$11,"", $C$10*($C$8*(1+$C$8)^$C$11)/((1+$C$8)^$C$11-1))</f>
        <v/>
      </c>
      <c r="I353" s="20" t="str">
        <f>IF(B353&gt;$C$11,"", H353-(J352*$C$8))</f>
        <v/>
      </c>
      <c r="J353" s="20" t="str">
        <f t="shared" si="22"/>
        <v/>
      </c>
    </row>
    <row r="354" spans="2:10" x14ac:dyDescent="0.3">
      <c r="B354" s="6">
        <v>338</v>
      </c>
      <c r="C354" s="20" t="str">
        <f t="shared" si="19"/>
        <v/>
      </c>
      <c r="D354" s="20" t="str">
        <f>IF(B354&gt;$C$11,"", F353*$C$8)</f>
        <v/>
      </c>
      <c r="E354" s="20" t="str">
        <f t="shared" si="20"/>
        <v/>
      </c>
      <c r="F354" s="20" t="str">
        <f t="shared" si="21"/>
        <v/>
      </c>
      <c r="H354" s="20" t="str">
        <f>IF(B354&gt;$C$11,"", $C$10*($C$8*(1+$C$8)^$C$11)/((1+$C$8)^$C$11-1))</f>
        <v/>
      </c>
      <c r="I354" s="20" t="str">
        <f>IF(B354&gt;$C$11,"", H354-(J353*$C$8))</f>
        <v/>
      </c>
      <c r="J354" s="20" t="str">
        <f t="shared" si="22"/>
        <v/>
      </c>
    </row>
    <row r="355" spans="2:10" x14ac:dyDescent="0.3">
      <c r="B355" s="6">
        <v>339</v>
      </c>
      <c r="C355" s="20" t="str">
        <f t="shared" si="19"/>
        <v/>
      </c>
      <c r="D355" s="20" t="str">
        <f>IF(B355&gt;$C$11,"", F354*$C$8)</f>
        <v/>
      </c>
      <c r="E355" s="20" t="str">
        <f t="shared" si="20"/>
        <v/>
      </c>
      <c r="F355" s="20" t="str">
        <f t="shared" si="21"/>
        <v/>
      </c>
      <c r="H355" s="20" t="str">
        <f>IF(B355&gt;$C$11,"", $C$10*($C$8*(1+$C$8)^$C$11)/((1+$C$8)^$C$11-1))</f>
        <v/>
      </c>
      <c r="I355" s="20" t="str">
        <f>IF(B355&gt;$C$11,"", H355-(J354*$C$8))</f>
        <v/>
      </c>
      <c r="J355" s="20" t="str">
        <f t="shared" si="22"/>
        <v/>
      </c>
    </row>
    <row r="356" spans="2:10" x14ac:dyDescent="0.3">
      <c r="B356" s="6">
        <v>340</v>
      </c>
      <c r="C356" s="20" t="str">
        <f t="shared" si="19"/>
        <v/>
      </c>
      <c r="D356" s="20" t="str">
        <f>IF(B356&gt;$C$11,"", F355*$C$8)</f>
        <v/>
      </c>
      <c r="E356" s="20" t="str">
        <f t="shared" si="20"/>
        <v/>
      </c>
      <c r="F356" s="20" t="str">
        <f t="shared" si="21"/>
        <v/>
      </c>
      <c r="H356" s="20" t="str">
        <f>IF(B356&gt;$C$11,"", $C$10*($C$8*(1+$C$8)^$C$11)/((1+$C$8)^$C$11-1))</f>
        <v/>
      </c>
      <c r="I356" s="20" t="str">
        <f>IF(B356&gt;$C$11,"", H356-(J355*$C$8))</f>
        <v/>
      </c>
      <c r="J356" s="20" t="str">
        <f t="shared" si="22"/>
        <v/>
      </c>
    </row>
    <row r="357" spans="2:10" x14ac:dyDescent="0.3">
      <c r="B357" s="6">
        <v>341</v>
      </c>
      <c r="C357" s="20" t="str">
        <f t="shared" si="19"/>
        <v/>
      </c>
      <c r="D357" s="20" t="str">
        <f>IF(B357&gt;$C$11,"", F356*$C$8)</f>
        <v/>
      </c>
      <c r="E357" s="20" t="str">
        <f t="shared" si="20"/>
        <v/>
      </c>
      <c r="F357" s="20" t="str">
        <f t="shared" si="21"/>
        <v/>
      </c>
      <c r="H357" s="20" t="str">
        <f>IF(B357&gt;$C$11,"", $C$10*($C$8*(1+$C$8)^$C$11)/((1+$C$8)^$C$11-1))</f>
        <v/>
      </c>
      <c r="I357" s="20" t="str">
        <f>IF(B357&gt;$C$11,"", H357-(J356*$C$8))</f>
        <v/>
      </c>
      <c r="J357" s="20" t="str">
        <f t="shared" si="22"/>
        <v/>
      </c>
    </row>
    <row r="358" spans="2:10" x14ac:dyDescent="0.3">
      <c r="B358" s="6">
        <v>342</v>
      </c>
      <c r="C358" s="20" t="str">
        <f t="shared" si="19"/>
        <v/>
      </c>
      <c r="D358" s="20" t="str">
        <f>IF(B358&gt;$C$11,"", F357*$C$8)</f>
        <v/>
      </c>
      <c r="E358" s="20" t="str">
        <f t="shared" si="20"/>
        <v/>
      </c>
      <c r="F358" s="20" t="str">
        <f t="shared" si="21"/>
        <v/>
      </c>
      <c r="H358" s="20" t="str">
        <f>IF(B358&gt;$C$11,"", $C$10*($C$8*(1+$C$8)^$C$11)/((1+$C$8)^$C$11-1))</f>
        <v/>
      </c>
      <c r="I358" s="20" t="str">
        <f>IF(B358&gt;$C$11,"", H358-(J357*$C$8))</f>
        <v/>
      </c>
      <c r="J358" s="20" t="str">
        <f t="shared" si="22"/>
        <v/>
      </c>
    </row>
    <row r="359" spans="2:10" x14ac:dyDescent="0.3">
      <c r="B359" s="6">
        <v>343</v>
      </c>
      <c r="C359" s="20" t="str">
        <f t="shared" si="19"/>
        <v/>
      </c>
      <c r="D359" s="20" t="str">
        <f>IF(B359&gt;$C$11,"", F358*$C$8)</f>
        <v/>
      </c>
      <c r="E359" s="20" t="str">
        <f t="shared" si="20"/>
        <v/>
      </c>
      <c r="F359" s="20" t="str">
        <f t="shared" si="21"/>
        <v/>
      </c>
      <c r="H359" s="20" t="str">
        <f>IF(B359&gt;$C$11,"", $C$10*($C$8*(1+$C$8)^$C$11)/((1+$C$8)^$C$11-1))</f>
        <v/>
      </c>
      <c r="I359" s="20" t="str">
        <f>IF(B359&gt;$C$11,"", H359-(J358*$C$8))</f>
        <v/>
      </c>
      <c r="J359" s="20" t="str">
        <f t="shared" si="22"/>
        <v/>
      </c>
    </row>
    <row r="360" spans="2:10" x14ac:dyDescent="0.3">
      <c r="B360" s="6">
        <v>344</v>
      </c>
      <c r="C360" s="20" t="str">
        <f t="shared" si="19"/>
        <v/>
      </c>
      <c r="D360" s="20" t="str">
        <f>IF(B360&gt;$C$11,"", F359*$C$8)</f>
        <v/>
      </c>
      <c r="E360" s="20" t="str">
        <f t="shared" si="20"/>
        <v/>
      </c>
      <c r="F360" s="20" t="str">
        <f t="shared" si="21"/>
        <v/>
      </c>
      <c r="H360" s="20" t="str">
        <f>IF(B360&gt;$C$11,"", $C$10*($C$8*(1+$C$8)^$C$11)/((1+$C$8)^$C$11-1))</f>
        <v/>
      </c>
      <c r="I360" s="20" t="str">
        <f>IF(B360&gt;$C$11,"", H360-(J359*$C$8))</f>
        <v/>
      </c>
      <c r="J360" s="20" t="str">
        <f t="shared" si="22"/>
        <v/>
      </c>
    </row>
    <row r="361" spans="2:10" x14ac:dyDescent="0.3">
      <c r="B361" s="6">
        <v>345</v>
      </c>
      <c r="C361" s="20" t="str">
        <f t="shared" si="19"/>
        <v/>
      </c>
      <c r="D361" s="20" t="str">
        <f>IF(B361&gt;$C$11,"", F360*$C$8)</f>
        <v/>
      </c>
      <c r="E361" s="20" t="str">
        <f t="shared" si="20"/>
        <v/>
      </c>
      <c r="F361" s="20" t="str">
        <f t="shared" si="21"/>
        <v/>
      </c>
      <c r="H361" s="20" t="str">
        <f>IF(B361&gt;$C$11,"", $C$10*($C$8*(1+$C$8)^$C$11)/((1+$C$8)^$C$11-1))</f>
        <v/>
      </c>
      <c r="I361" s="20" t="str">
        <f>IF(B361&gt;$C$11,"", H361-(J360*$C$8))</f>
        <v/>
      </c>
      <c r="J361" s="20" t="str">
        <f t="shared" si="22"/>
        <v/>
      </c>
    </row>
    <row r="362" spans="2:10" x14ac:dyDescent="0.3">
      <c r="B362" s="6">
        <v>346</v>
      </c>
      <c r="C362" s="20" t="str">
        <f t="shared" si="19"/>
        <v/>
      </c>
      <c r="D362" s="20" t="str">
        <f>IF(B362&gt;$C$11,"", F361*$C$8)</f>
        <v/>
      </c>
      <c r="E362" s="20" t="str">
        <f t="shared" si="20"/>
        <v/>
      </c>
      <c r="F362" s="20" t="str">
        <f t="shared" si="21"/>
        <v/>
      </c>
      <c r="H362" s="20" t="str">
        <f>IF(B362&gt;$C$11,"", $C$10*($C$8*(1+$C$8)^$C$11)/((1+$C$8)^$C$11-1))</f>
        <v/>
      </c>
      <c r="I362" s="20" t="str">
        <f>IF(B362&gt;$C$11,"", H362-(J361*$C$8))</f>
        <v/>
      </c>
      <c r="J362" s="20" t="str">
        <f t="shared" si="22"/>
        <v/>
      </c>
    </row>
    <row r="363" spans="2:10" x14ac:dyDescent="0.3">
      <c r="B363" s="6">
        <v>347</v>
      </c>
      <c r="C363" s="20" t="str">
        <f t="shared" si="19"/>
        <v/>
      </c>
      <c r="D363" s="20" t="str">
        <f>IF(B363&gt;$C$11,"", F362*$C$8)</f>
        <v/>
      </c>
      <c r="E363" s="20" t="str">
        <f t="shared" si="20"/>
        <v/>
      </c>
      <c r="F363" s="20" t="str">
        <f t="shared" si="21"/>
        <v/>
      </c>
      <c r="H363" s="20" t="str">
        <f>IF(B363&gt;$C$11,"", $C$10*($C$8*(1+$C$8)^$C$11)/((1+$C$8)^$C$11-1))</f>
        <v/>
      </c>
      <c r="I363" s="20" t="str">
        <f>IF(B363&gt;$C$11,"", H363-(J362*$C$8))</f>
        <v/>
      </c>
      <c r="J363" s="20" t="str">
        <f t="shared" si="22"/>
        <v/>
      </c>
    </row>
    <row r="364" spans="2:10" x14ac:dyDescent="0.3">
      <c r="B364" s="6">
        <v>348</v>
      </c>
      <c r="C364" s="20" t="str">
        <f t="shared" si="19"/>
        <v/>
      </c>
      <c r="D364" s="20" t="str">
        <f>IF(B364&gt;$C$11,"", F363*$C$8)</f>
        <v/>
      </c>
      <c r="E364" s="20" t="str">
        <f t="shared" si="20"/>
        <v/>
      </c>
      <c r="F364" s="20" t="str">
        <f t="shared" si="21"/>
        <v/>
      </c>
      <c r="H364" s="20" t="str">
        <f>IF(B364&gt;$C$11,"", $C$10*($C$8*(1+$C$8)^$C$11)/((1+$C$8)^$C$11-1))</f>
        <v/>
      </c>
      <c r="I364" s="20" t="str">
        <f>IF(B364&gt;$C$11,"", H364-(J363*$C$8))</f>
        <v/>
      </c>
      <c r="J364" s="20" t="str">
        <f t="shared" si="22"/>
        <v/>
      </c>
    </row>
    <row r="365" spans="2:10" x14ac:dyDescent="0.3">
      <c r="B365" s="6">
        <v>349</v>
      </c>
      <c r="C365" s="20" t="str">
        <f t="shared" si="19"/>
        <v/>
      </c>
      <c r="D365" s="20" t="str">
        <f>IF(B365&gt;$C$11,"", F364*$C$8)</f>
        <v/>
      </c>
      <c r="E365" s="20" t="str">
        <f t="shared" si="20"/>
        <v/>
      </c>
      <c r="F365" s="20" t="str">
        <f t="shared" si="21"/>
        <v/>
      </c>
      <c r="H365" s="20" t="str">
        <f>IF(B365&gt;$C$11,"", $C$10*($C$8*(1+$C$8)^$C$11)/((1+$C$8)^$C$11-1))</f>
        <v/>
      </c>
      <c r="I365" s="20" t="str">
        <f>IF(B365&gt;$C$11,"", H365-(J364*$C$8))</f>
        <v/>
      </c>
      <c r="J365" s="20" t="str">
        <f t="shared" si="22"/>
        <v/>
      </c>
    </row>
    <row r="366" spans="2:10" x14ac:dyDescent="0.3">
      <c r="B366" s="6">
        <v>350</v>
      </c>
      <c r="C366" s="20" t="str">
        <f t="shared" si="19"/>
        <v/>
      </c>
      <c r="D366" s="20" t="str">
        <f>IF(B366&gt;$C$11,"", F365*$C$8)</f>
        <v/>
      </c>
      <c r="E366" s="20" t="str">
        <f t="shared" si="20"/>
        <v/>
      </c>
      <c r="F366" s="20" t="str">
        <f t="shared" si="21"/>
        <v/>
      </c>
      <c r="H366" s="20" t="str">
        <f>IF(B366&gt;$C$11,"", $C$10*($C$8*(1+$C$8)^$C$11)/((1+$C$8)^$C$11-1))</f>
        <v/>
      </c>
      <c r="I366" s="20" t="str">
        <f>IF(B366&gt;$C$11,"", H366-(J365*$C$8))</f>
        <v/>
      </c>
      <c r="J366" s="20" t="str">
        <f t="shared" si="22"/>
        <v/>
      </c>
    </row>
    <row r="367" spans="2:10" x14ac:dyDescent="0.3">
      <c r="B367" s="6">
        <v>351</v>
      </c>
      <c r="C367" s="20" t="str">
        <f t="shared" si="19"/>
        <v/>
      </c>
      <c r="D367" s="20" t="str">
        <f>IF(B367&gt;$C$11,"", F366*$C$8)</f>
        <v/>
      </c>
      <c r="E367" s="20" t="str">
        <f t="shared" si="20"/>
        <v/>
      </c>
      <c r="F367" s="20" t="str">
        <f t="shared" si="21"/>
        <v/>
      </c>
      <c r="H367" s="20" t="str">
        <f>IF(B367&gt;$C$11,"", $C$10*($C$8*(1+$C$8)^$C$11)/((1+$C$8)^$C$11-1))</f>
        <v/>
      </c>
      <c r="I367" s="20" t="str">
        <f>IF(B367&gt;$C$11,"", H367-(J366*$C$8))</f>
        <v/>
      </c>
      <c r="J367" s="20" t="str">
        <f t="shared" si="22"/>
        <v/>
      </c>
    </row>
    <row r="368" spans="2:10" x14ac:dyDescent="0.3">
      <c r="B368" s="6">
        <v>352</v>
      </c>
      <c r="C368" s="20" t="str">
        <f t="shared" si="19"/>
        <v/>
      </c>
      <c r="D368" s="20" t="str">
        <f>IF(B368&gt;$C$11,"", F367*$C$8)</f>
        <v/>
      </c>
      <c r="E368" s="20" t="str">
        <f t="shared" si="20"/>
        <v/>
      </c>
      <c r="F368" s="20" t="str">
        <f t="shared" si="21"/>
        <v/>
      </c>
      <c r="H368" s="20" t="str">
        <f>IF(B368&gt;$C$11,"", $C$10*($C$8*(1+$C$8)^$C$11)/((1+$C$8)^$C$11-1))</f>
        <v/>
      </c>
      <c r="I368" s="20" t="str">
        <f>IF(B368&gt;$C$11,"", H368-(J367*$C$8))</f>
        <v/>
      </c>
      <c r="J368" s="20" t="str">
        <f t="shared" si="22"/>
        <v/>
      </c>
    </row>
    <row r="369" spans="2:10" x14ac:dyDescent="0.3">
      <c r="B369" s="6">
        <v>353</v>
      </c>
      <c r="C369" s="20" t="str">
        <f t="shared" si="19"/>
        <v/>
      </c>
      <c r="D369" s="20" t="str">
        <f>IF(B369&gt;$C$11,"", F368*$C$8)</f>
        <v/>
      </c>
      <c r="E369" s="20" t="str">
        <f t="shared" si="20"/>
        <v/>
      </c>
      <c r="F369" s="20" t="str">
        <f t="shared" si="21"/>
        <v/>
      </c>
      <c r="H369" s="20" t="str">
        <f>IF(B369&gt;$C$11,"", $C$10*($C$8*(1+$C$8)^$C$11)/((1+$C$8)^$C$11-1))</f>
        <v/>
      </c>
      <c r="I369" s="20" t="str">
        <f>IF(B369&gt;$C$11,"", H369-(J368*$C$8))</f>
        <v/>
      </c>
      <c r="J369" s="20" t="str">
        <f t="shared" si="22"/>
        <v/>
      </c>
    </row>
    <row r="370" spans="2:10" x14ac:dyDescent="0.3">
      <c r="B370" s="6">
        <v>354</v>
      </c>
      <c r="C370" s="20" t="str">
        <f t="shared" si="19"/>
        <v/>
      </c>
      <c r="D370" s="20" t="str">
        <f>IF(B370&gt;$C$11,"", F369*$C$8)</f>
        <v/>
      </c>
      <c r="E370" s="20" t="str">
        <f t="shared" si="20"/>
        <v/>
      </c>
      <c r="F370" s="20" t="str">
        <f t="shared" si="21"/>
        <v/>
      </c>
      <c r="H370" s="20" t="str">
        <f>IF(B370&gt;$C$11,"", $C$10*($C$8*(1+$C$8)^$C$11)/((1+$C$8)^$C$11-1))</f>
        <v/>
      </c>
      <c r="I370" s="20" t="str">
        <f>IF(B370&gt;$C$11,"", H370-(J369*$C$8))</f>
        <v/>
      </c>
      <c r="J370" s="20" t="str">
        <f t="shared" si="22"/>
        <v/>
      </c>
    </row>
    <row r="371" spans="2:10" x14ac:dyDescent="0.3">
      <c r="B371" s="6">
        <v>355</v>
      </c>
      <c r="C371" s="20" t="str">
        <f t="shared" si="19"/>
        <v/>
      </c>
      <c r="D371" s="20" t="str">
        <f>IF(B371&gt;$C$11,"", F370*$C$8)</f>
        <v/>
      </c>
      <c r="E371" s="20" t="str">
        <f t="shared" si="20"/>
        <v/>
      </c>
      <c r="F371" s="20" t="str">
        <f t="shared" si="21"/>
        <v/>
      </c>
      <c r="H371" s="20" t="str">
        <f>IF(B371&gt;$C$11,"", $C$10*($C$8*(1+$C$8)^$C$11)/((1+$C$8)^$C$11-1))</f>
        <v/>
      </c>
      <c r="I371" s="20" t="str">
        <f>IF(B371&gt;$C$11,"", H371-(J370*$C$8))</f>
        <v/>
      </c>
      <c r="J371" s="20" t="str">
        <f t="shared" si="22"/>
        <v/>
      </c>
    </row>
    <row r="372" spans="2:10" x14ac:dyDescent="0.3">
      <c r="B372" s="6">
        <v>356</v>
      </c>
      <c r="C372" s="20" t="str">
        <f t="shared" si="19"/>
        <v/>
      </c>
      <c r="D372" s="20" t="str">
        <f>IF(B372&gt;$C$11,"", F371*$C$8)</f>
        <v/>
      </c>
      <c r="E372" s="20" t="str">
        <f t="shared" si="20"/>
        <v/>
      </c>
      <c r="F372" s="20" t="str">
        <f t="shared" si="21"/>
        <v/>
      </c>
      <c r="H372" s="20" t="str">
        <f>IF(B372&gt;$C$11,"", $C$10*($C$8*(1+$C$8)^$C$11)/((1+$C$8)^$C$11-1))</f>
        <v/>
      </c>
      <c r="I372" s="20" t="str">
        <f>IF(B372&gt;$C$11,"", H372-(J371*$C$8))</f>
        <v/>
      </c>
      <c r="J372" s="20" t="str">
        <f t="shared" si="22"/>
        <v/>
      </c>
    </row>
    <row r="373" spans="2:10" x14ac:dyDescent="0.3">
      <c r="B373" s="6">
        <v>357</v>
      </c>
      <c r="C373" s="20" t="str">
        <f t="shared" si="19"/>
        <v/>
      </c>
      <c r="D373" s="20" t="str">
        <f>IF(B373&gt;$C$11,"", F372*$C$8)</f>
        <v/>
      </c>
      <c r="E373" s="20" t="str">
        <f t="shared" si="20"/>
        <v/>
      </c>
      <c r="F373" s="20" t="str">
        <f t="shared" si="21"/>
        <v/>
      </c>
      <c r="H373" s="20" t="str">
        <f>IF(B373&gt;$C$11,"", $C$10*($C$8*(1+$C$8)^$C$11)/((1+$C$8)^$C$11-1))</f>
        <v/>
      </c>
      <c r="I373" s="20" t="str">
        <f>IF(B373&gt;$C$11,"", H373-(J372*$C$8))</f>
        <v/>
      </c>
      <c r="J373" s="20" t="str">
        <f t="shared" si="22"/>
        <v/>
      </c>
    </row>
    <row r="374" spans="2:10" x14ac:dyDescent="0.3">
      <c r="B374" s="6">
        <v>358</v>
      </c>
      <c r="C374" s="20" t="str">
        <f t="shared" si="19"/>
        <v/>
      </c>
      <c r="D374" s="20" t="str">
        <f>IF(B374&gt;$C$11,"", F373*$C$8)</f>
        <v/>
      </c>
      <c r="E374" s="20" t="str">
        <f t="shared" si="20"/>
        <v/>
      </c>
      <c r="F374" s="20" t="str">
        <f t="shared" si="21"/>
        <v/>
      </c>
      <c r="H374" s="20" t="str">
        <f>IF(B374&gt;$C$11,"", $C$10*($C$8*(1+$C$8)^$C$11)/((1+$C$8)^$C$11-1))</f>
        <v/>
      </c>
      <c r="I374" s="20" t="str">
        <f>IF(B374&gt;$C$11,"", H374-(J373*$C$8))</f>
        <v/>
      </c>
      <c r="J374" s="20" t="str">
        <f t="shared" si="22"/>
        <v/>
      </c>
    </row>
    <row r="375" spans="2:10" x14ac:dyDescent="0.3">
      <c r="B375" s="6">
        <v>359</v>
      </c>
      <c r="C375" s="20" t="str">
        <f t="shared" si="19"/>
        <v/>
      </c>
      <c r="D375" s="20" t="str">
        <f>IF(B375&gt;$C$11,"", F374*$C$8)</f>
        <v/>
      </c>
      <c r="E375" s="20" t="str">
        <f t="shared" si="20"/>
        <v/>
      </c>
      <c r="F375" s="20" t="str">
        <f t="shared" si="21"/>
        <v/>
      </c>
      <c r="H375" s="20" t="str">
        <f>IF(B375&gt;$C$11,"", $C$10*($C$8*(1+$C$8)^$C$11)/((1+$C$8)^$C$11-1))</f>
        <v/>
      </c>
      <c r="I375" s="20" t="str">
        <f>IF(B375&gt;$C$11,"", H375-(J374*$C$8))</f>
        <v/>
      </c>
      <c r="J375" s="20" t="str">
        <f t="shared" si="22"/>
        <v/>
      </c>
    </row>
    <row r="376" spans="2:10" x14ac:dyDescent="0.3">
      <c r="B376" s="6">
        <v>360</v>
      </c>
      <c r="C376" s="20" t="str">
        <f t="shared" si="19"/>
        <v/>
      </c>
      <c r="D376" s="20" t="str">
        <f>IF(B376&gt;$C$11,"", F375*$C$8)</f>
        <v/>
      </c>
      <c r="E376" s="20" t="str">
        <f t="shared" si="20"/>
        <v/>
      </c>
      <c r="F376" s="20" t="str">
        <f t="shared" si="21"/>
        <v/>
      </c>
      <c r="H376" s="20" t="str">
        <f>IF(B376&gt;$C$11,"", $C$10*($C$8*(1+$C$8)^$C$11)/((1+$C$8)^$C$11-1))</f>
        <v/>
      </c>
      <c r="I376" s="20" t="str">
        <f>IF(B376&gt;$C$11,"", H376-(J375*$C$8))</f>
        <v/>
      </c>
      <c r="J376" s="20" t="str">
        <f t="shared" si="22"/>
        <v/>
      </c>
    </row>
    <row r="377" spans="2:10" ht="15.6" x14ac:dyDescent="0.3">
      <c r="B377" s="7" t="s">
        <v>17</v>
      </c>
      <c r="C377" s="21">
        <f>SUM(C17:C376)</f>
        <v>480000.00000000122</v>
      </c>
      <c r="D377" s="21">
        <f>SUM(D17:D376)</f>
        <v>325800</v>
      </c>
      <c r="E377" s="21">
        <f>SUM(E17:E376)</f>
        <v>805799.99999999534</v>
      </c>
      <c r="F377" s="21"/>
      <c r="H377" s="22" t="s">
        <v>17</v>
      </c>
      <c r="I377" s="23">
        <f>SUM(I17:I376)</f>
        <v>479999.99999998958</v>
      </c>
      <c r="J377" s="23">
        <f>SUM(H17:H376)</f>
        <v>876326.32871578063</v>
      </c>
    </row>
  </sheetData>
  <mergeCells count="5">
    <mergeCell ref="H15:J15"/>
    <mergeCell ref="B15:F15"/>
    <mergeCell ref="B2:I2"/>
    <mergeCell ref="B1:I1"/>
    <mergeCell ref="B4:C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9E0B"/>
  </sheetPr>
  <dimension ref="B1:E25"/>
  <sheetViews>
    <sheetView workbookViewId="0">
      <selection activeCell="B2" sqref="B2:E2"/>
    </sheetView>
  </sheetViews>
  <sheetFormatPr defaultRowHeight="14.4" x14ac:dyDescent="0.3"/>
  <cols>
    <col min="1" max="1" width="4" customWidth="1"/>
    <col min="2" max="2" width="35" customWidth="1"/>
    <col min="3" max="5" width="25" customWidth="1"/>
  </cols>
  <sheetData>
    <row r="1" spans="2:5" x14ac:dyDescent="0.3">
      <c r="B1" s="11" t="s">
        <v>18</v>
      </c>
      <c r="C1" s="9"/>
      <c r="D1" s="9"/>
      <c r="E1" s="9"/>
    </row>
    <row r="2" spans="2:5" x14ac:dyDescent="0.3">
      <c r="B2" s="30" t="s">
        <v>49</v>
      </c>
      <c r="C2" s="9"/>
      <c r="D2" s="9"/>
      <c r="E2" s="9"/>
    </row>
    <row r="4" spans="2:5" ht="17.399999999999999" x14ac:dyDescent="0.3">
      <c r="B4" s="1" t="s">
        <v>19</v>
      </c>
      <c r="C4" s="18">
        <f>'Simulador SAC x PRICE'!C5</f>
        <v>600000</v>
      </c>
    </row>
    <row r="5" spans="2:5" ht="17.399999999999999" x14ac:dyDescent="0.3">
      <c r="B5" s="1" t="s">
        <v>20</v>
      </c>
      <c r="C5" s="18">
        <f>'Simulador SAC x PRICE'!C9</f>
        <v>120000</v>
      </c>
    </row>
    <row r="6" spans="2:5" ht="17.399999999999999" x14ac:dyDescent="0.3">
      <c r="B6" s="1" t="s">
        <v>21</v>
      </c>
      <c r="C6" s="18">
        <f>'Simulador SAC x PRICE'!C10</f>
        <v>480000</v>
      </c>
    </row>
    <row r="7" spans="2:5" ht="17.399999999999999" x14ac:dyDescent="0.3">
      <c r="B7" s="1" t="s">
        <v>22</v>
      </c>
      <c r="C7" s="29" t="s">
        <v>45</v>
      </c>
    </row>
    <row r="8" spans="2:5" ht="17.399999999999999" x14ac:dyDescent="0.3">
      <c r="B8" s="1" t="s">
        <v>23</v>
      </c>
      <c r="C8" s="8" t="str">
        <f>'Simulador SAC x PRICE'!C8</f>
        <v>0,0075</v>
      </c>
    </row>
    <row r="10" spans="2:5" x14ac:dyDescent="0.3">
      <c r="B10" s="11" t="s">
        <v>24</v>
      </c>
      <c r="C10" s="9"/>
      <c r="D10" s="9"/>
      <c r="E10" s="9"/>
    </row>
    <row r="11" spans="2:5" ht="15.6" x14ac:dyDescent="0.3">
      <c r="B11" s="5" t="s">
        <v>25</v>
      </c>
      <c r="C11" s="5" t="s">
        <v>26</v>
      </c>
      <c r="D11" s="5" t="s">
        <v>27</v>
      </c>
      <c r="E11" s="5" t="s">
        <v>28</v>
      </c>
    </row>
    <row r="12" spans="2:5" x14ac:dyDescent="0.3">
      <c r="B12" s="1" t="s">
        <v>29</v>
      </c>
      <c r="C12" s="20">
        <f>'Simulador SAC x PRICE'!E17</f>
        <v>6266.6666666666661</v>
      </c>
      <c r="D12" s="20">
        <f>'Simulador SAC x PRICE'!H17</f>
        <v>4868.4796039765415</v>
      </c>
      <c r="E12" s="28">
        <f>C12-D12</f>
        <v>1398.1870626901245</v>
      </c>
    </row>
    <row r="13" spans="2:5" x14ac:dyDescent="0.3">
      <c r="B13" s="1" t="s">
        <v>30</v>
      </c>
      <c r="C13" s="20">
        <f>'Simulador SAC x PRICE'!E196</f>
        <v>2686.6666666666574</v>
      </c>
      <c r="D13" s="20">
        <f>'Simulador SAC x PRICE'!H17</f>
        <v>4868.4796039765415</v>
      </c>
      <c r="E13" s="28">
        <f>C13-D13</f>
        <v>-2181.8129373098841</v>
      </c>
    </row>
    <row r="14" spans="2:5" x14ac:dyDescent="0.3">
      <c r="B14" s="1" t="s">
        <v>31</v>
      </c>
      <c r="C14" s="20">
        <f>'Simulador SAC x PRICE'!E377</f>
        <v>805799.99999999534</v>
      </c>
      <c r="D14" s="20">
        <f>'Simulador SAC x PRICE'!J377</f>
        <v>876326.32871578063</v>
      </c>
      <c r="E14" s="28">
        <f>C14-D14</f>
        <v>-70526.32871578529</v>
      </c>
    </row>
    <row r="15" spans="2:5" x14ac:dyDescent="0.3">
      <c r="B15" s="1" t="s">
        <v>32</v>
      </c>
      <c r="C15" s="20">
        <f>'Simulador SAC x PRICE'!D377</f>
        <v>325800</v>
      </c>
      <c r="D15" s="20">
        <f>('Simulador SAC x PRICE'!J377)-('Simulador SAC x PRICE'!C10)</f>
        <v>396326.32871578063</v>
      </c>
      <c r="E15" s="28">
        <f>C15-D15</f>
        <v>-70526.328715780634</v>
      </c>
    </row>
    <row r="17" spans="2:5" ht="15" thickBot="1" x14ac:dyDescent="0.35">
      <c r="B17" s="11" t="s">
        <v>33</v>
      </c>
      <c r="C17" s="9"/>
      <c r="D17" s="9"/>
      <c r="E17" s="9"/>
    </row>
    <row r="18" spans="2:5" ht="40.049999999999997" customHeight="1" thickBot="1" x14ac:dyDescent="0.35">
      <c r="B18" s="31" t="str">
        <f>IF(C15&lt;D15, "O SAC é mais econômico neste caso! Economia de "&amp;TEXT(ABS(D15-C15),"R$ #.##0,00"), IF(D15&lt;C15, "O PRICE é mais econômico neste caso! Economia de "&amp;TEXT(ABS(C15-D15),"R$ #.##0,00"), "Ambos resultam no mesmo custo total."))</f>
        <v>O SAC é mais econômico neste caso! Economia de R$ 70.526,33</v>
      </c>
      <c r="C18" s="25"/>
      <c r="D18" s="25"/>
      <c r="E18" s="26"/>
    </row>
    <row r="20" spans="2:5" x14ac:dyDescent="0.3">
      <c r="B20" s="11" t="s">
        <v>34</v>
      </c>
      <c r="C20" s="9"/>
      <c r="D20" s="9"/>
      <c r="E20" s="9"/>
    </row>
    <row r="21" spans="2:5" x14ac:dyDescent="0.3">
      <c r="B21" s="12" t="s">
        <v>35</v>
      </c>
      <c r="C21" s="13"/>
      <c r="D21" s="13"/>
      <c r="E21" s="14"/>
    </row>
    <row r="22" spans="2:5" x14ac:dyDescent="0.3">
      <c r="B22" s="12" t="s">
        <v>36</v>
      </c>
      <c r="C22" s="13"/>
      <c r="D22" s="13"/>
      <c r="E22" s="14"/>
    </row>
    <row r="23" spans="2:5" x14ac:dyDescent="0.3">
      <c r="B23" s="41" t="s">
        <v>48</v>
      </c>
      <c r="C23" s="13"/>
      <c r="D23" s="13"/>
      <c r="E23" s="14"/>
    </row>
    <row r="24" spans="2:5" x14ac:dyDescent="0.3">
      <c r="B24" s="12" t="s">
        <v>37</v>
      </c>
      <c r="C24" s="13"/>
      <c r="D24" s="13"/>
      <c r="E24" s="14"/>
    </row>
    <row r="25" spans="2:5" x14ac:dyDescent="0.3">
      <c r="B25" s="12" t="s">
        <v>38</v>
      </c>
      <c r="C25" s="13"/>
      <c r="D25" s="13"/>
      <c r="E25" s="14"/>
    </row>
  </sheetData>
  <mergeCells count="11">
    <mergeCell ref="B25:E25"/>
    <mergeCell ref="B24:E24"/>
    <mergeCell ref="B2:E2"/>
    <mergeCell ref="B20:E20"/>
    <mergeCell ref="B10:E10"/>
    <mergeCell ref="B22:E22"/>
    <mergeCell ref="B17:E17"/>
    <mergeCell ref="B18:E18"/>
    <mergeCell ref="B1:E1"/>
    <mergeCell ref="B23:E23"/>
    <mergeCell ref="B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B1:F63"/>
  <sheetViews>
    <sheetView workbookViewId="0">
      <selection activeCell="J13" sqref="J13"/>
    </sheetView>
  </sheetViews>
  <sheetFormatPr defaultRowHeight="14.4" x14ac:dyDescent="0.3"/>
  <cols>
    <col min="1" max="1" width="4" customWidth="1"/>
    <col min="2" max="2" width="14" customWidth="1"/>
    <col min="3" max="6" width="18" customWidth="1"/>
  </cols>
  <sheetData>
    <row r="1" spans="2:6" x14ac:dyDescent="0.3">
      <c r="B1" s="11" t="s">
        <v>39</v>
      </c>
      <c r="C1" s="9"/>
      <c r="D1" s="9"/>
      <c r="E1" s="9"/>
      <c r="F1" s="9"/>
    </row>
    <row r="3" spans="2:6" ht="15.6" x14ac:dyDescent="0.3"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</row>
    <row r="4" spans="2:6" x14ac:dyDescent="0.3">
      <c r="B4" s="6">
        <v>1</v>
      </c>
      <c r="C4" s="20">
        <f>'Simulador SAC x PRICE'!E17</f>
        <v>6266.6666666666661</v>
      </c>
      <c r="D4" s="20">
        <f>'Simulador SAC x PRICE'!H17</f>
        <v>4868.4796039765415</v>
      </c>
      <c r="E4" s="20">
        <f>'Simulador SAC x PRICE'!F17</f>
        <v>477333.33333333331</v>
      </c>
      <c r="F4" s="20">
        <f>'Simulador SAC x PRICE'!J17</f>
        <v>478731.52039602346</v>
      </c>
    </row>
    <row r="5" spans="2:6" x14ac:dyDescent="0.3">
      <c r="B5" s="6">
        <v>2</v>
      </c>
      <c r="C5" s="20">
        <f>'Simulador SAC x PRICE'!E18</f>
        <v>6246.6666666666661</v>
      </c>
      <c r="D5" s="20">
        <f>'Simulador SAC x PRICE'!H18</f>
        <v>4868.4796039765415</v>
      </c>
      <c r="E5" s="20">
        <f>'Simulador SAC x PRICE'!F18</f>
        <v>474666.66666666663</v>
      </c>
      <c r="F5" s="20">
        <f>'Simulador SAC x PRICE'!J18</f>
        <v>477453.52719501709</v>
      </c>
    </row>
    <row r="6" spans="2:6" x14ac:dyDescent="0.3">
      <c r="B6" s="6">
        <v>3</v>
      </c>
      <c r="C6" s="20">
        <f>'Simulador SAC x PRICE'!E19</f>
        <v>6226.6666666666661</v>
      </c>
      <c r="D6" s="20">
        <f>'Simulador SAC x PRICE'!H19</f>
        <v>4868.4796039765415</v>
      </c>
      <c r="E6" s="20">
        <f>'Simulador SAC x PRICE'!F19</f>
        <v>471999.99999999994</v>
      </c>
      <c r="F6" s="20">
        <f>'Simulador SAC x PRICE'!J19</f>
        <v>476165.94904500316</v>
      </c>
    </row>
    <row r="7" spans="2:6" x14ac:dyDescent="0.3">
      <c r="B7" s="6">
        <v>4</v>
      </c>
      <c r="C7" s="20">
        <f>'Simulador SAC x PRICE'!E20</f>
        <v>6206.6666666666661</v>
      </c>
      <c r="D7" s="20">
        <f>'Simulador SAC x PRICE'!H20</f>
        <v>4868.4796039765415</v>
      </c>
      <c r="E7" s="20">
        <f>'Simulador SAC x PRICE'!F20</f>
        <v>469333.33333333326</v>
      </c>
      <c r="F7" s="20">
        <f>'Simulador SAC x PRICE'!J20</f>
        <v>474868.71405886416</v>
      </c>
    </row>
    <row r="8" spans="2:6" x14ac:dyDescent="0.3">
      <c r="B8" s="6">
        <v>5</v>
      </c>
      <c r="C8" s="20">
        <f>'Simulador SAC x PRICE'!E21</f>
        <v>6186.6666666666661</v>
      </c>
      <c r="D8" s="20">
        <f>'Simulador SAC x PRICE'!H21</f>
        <v>4868.4796039765415</v>
      </c>
      <c r="E8" s="20">
        <f>'Simulador SAC x PRICE'!F21</f>
        <v>466666.66666666657</v>
      </c>
      <c r="F8" s="20">
        <f>'Simulador SAC x PRICE'!J21</f>
        <v>473561.74981032911</v>
      </c>
    </row>
    <row r="9" spans="2:6" x14ac:dyDescent="0.3">
      <c r="B9" s="6">
        <v>6</v>
      </c>
      <c r="C9" s="20">
        <f>'Simulador SAC x PRICE'!E22</f>
        <v>6166.6666666666661</v>
      </c>
      <c r="D9" s="20">
        <f>'Simulador SAC x PRICE'!H22</f>
        <v>4868.4796039765415</v>
      </c>
      <c r="E9" s="20">
        <f>'Simulador SAC x PRICE'!F22</f>
        <v>463999.99999999988</v>
      </c>
      <c r="F9" s="20">
        <f>'Simulador SAC x PRICE'!J22</f>
        <v>472244.98332993005</v>
      </c>
    </row>
    <row r="10" spans="2:6" x14ac:dyDescent="0.3">
      <c r="B10" s="6">
        <v>7</v>
      </c>
      <c r="C10" s="20">
        <f>'Simulador SAC x PRICE'!E23</f>
        <v>6146.6666666666661</v>
      </c>
      <c r="D10" s="20">
        <f>'Simulador SAC x PRICE'!H23</f>
        <v>4868.4796039765415</v>
      </c>
      <c r="E10" s="20">
        <f>'Simulador SAC x PRICE'!F23</f>
        <v>461333.3333333332</v>
      </c>
      <c r="F10" s="20">
        <f>'Simulador SAC x PRICE'!J23</f>
        <v>470918.34110092797</v>
      </c>
    </row>
    <row r="11" spans="2:6" x14ac:dyDescent="0.3">
      <c r="B11" s="6">
        <v>8</v>
      </c>
      <c r="C11" s="20">
        <f>'Simulador SAC x PRICE'!E24</f>
        <v>6126.6666666666652</v>
      </c>
      <c r="D11" s="20">
        <f>'Simulador SAC x PRICE'!H24</f>
        <v>4868.4796039765415</v>
      </c>
      <c r="E11" s="20">
        <f>'Simulador SAC x PRICE'!F24</f>
        <v>458666.66666666651</v>
      </c>
      <c r="F11" s="20">
        <f>'Simulador SAC x PRICE'!J24</f>
        <v>469581.74905520841</v>
      </c>
    </row>
    <row r="12" spans="2:6" x14ac:dyDescent="0.3">
      <c r="B12" s="6">
        <v>9</v>
      </c>
      <c r="C12" s="20">
        <f>'Simulador SAC x PRICE'!E25</f>
        <v>6106.6666666666652</v>
      </c>
      <c r="D12" s="20">
        <f>'Simulador SAC x PRICE'!H25</f>
        <v>4868.4796039765415</v>
      </c>
      <c r="E12" s="20">
        <f>'Simulador SAC x PRICE'!F25</f>
        <v>455999.99999999983</v>
      </c>
      <c r="F12" s="20">
        <f>'Simulador SAC x PRICE'!J25</f>
        <v>468235.13256914594</v>
      </c>
    </row>
    <row r="13" spans="2:6" x14ac:dyDescent="0.3">
      <c r="B13" s="6">
        <v>10</v>
      </c>
      <c r="C13" s="20">
        <f>'Simulador SAC x PRICE'!E26</f>
        <v>6086.6666666666652</v>
      </c>
      <c r="D13" s="20">
        <f>'Simulador SAC x PRICE'!H26</f>
        <v>4868.4796039765415</v>
      </c>
      <c r="E13" s="20">
        <f>'Simulador SAC x PRICE'!F26</f>
        <v>453333.33333333314</v>
      </c>
      <c r="F13" s="20">
        <f>'Simulador SAC x PRICE'!J26</f>
        <v>466878.41645943798</v>
      </c>
    </row>
    <row r="14" spans="2:6" x14ac:dyDescent="0.3">
      <c r="B14" s="6">
        <v>11</v>
      </c>
      <c r="C14" s="20">
        <f>'Simulador SAC x PRICE'!E27</f>
        <v>6066.6666666666652</v>
      </c>
      <c r="D14" s="20">
        <f>'Simulador SAC x PRICE'!H27</f>
        <v>4868.4796039765415</v>
      </c>
      <c r="E14" s="20">
        <f>'Simulador SAC x PRICE'!F27</f>
        <v>450666.66666666645</v>
      </c>
      <c r="F14" s="20">
        <f>'Simulador SAC x PRICE'!J27</f>
        <v>465511.52497890725</v>
      </c>
    </row>
    <row r="15" spans="2:6" x14ac:dyDescent="0.3">
      <c r="B15" s="6">
        <v>12</v>
      </c>
      <c r="C15" s="20">
        <f>'Simulador SAC x PRICE'!E28</f>
        <v>6046.6666666666642</v>
      </c>
      <c r="D15" s="20">
        <f>'Simulador SAC x PRICE'!H28</f>
        <v>4868.4796039765415</v>
      </c>
      <c r="E15" s="20">
        <f>'Simulador SAC x PRICE'!F28</f>
        <v>447999.99999999977</v>
      </c>
      <c r="F15" s="20">
        <f>'Simulador SAC x PRICE'!J28</f>
        <v>464134.38181227254</v>
      </c>
    </row>
    <row r="16" spans="2:6" x14ac:dyDescent="0.3">
      <c r="B16" s="6">
        <v>13</v>
      </c>
      <c r="C16" s="20">
        <f>'Simulador SAC x PRICE'!E29</f>
        <v>6026.6666666666642</v>
      </c>
      <c r="D16" s="20">
        <f>'Simulador SAC x PRICE'!H29</f>
        <v>4868.4796039765415</v>
      </c>
      <c r="E16" s="20">
        <f>'Simulador SAC x PRICE'!F29</f>
        <v>445333.33333333308</v>
      </c>
      <c r="F16" s="20">
        <f>'Simulador SAC x PRICE'!J29</f>
        <v>462746.91007188807</v>
      </c>
    </row>
    <row r="17" spans="2:6" x14ac:dyDescent="0.3">
      <c r="B17" s="6">
        <v>14</v>
      </c>
      <c r="C17" s="20">
        <f>'Simulador SAC x PRICE'!E30</f>
        <v>6006.6666666666642</v>
      </c>
      <c r="D17" s="20">
        <f>'Simulador SAC x PRICE'!H30</f>
        <v>4868.4796039765415</v>
      </c>
      <c r="E17" s="20">
        <f>'Simulador SAC x PRICE'!F30</f>
        <v>442666.6666666664</v>
      </c>
      <c r="F17" s="20">
        <f>'Simulador SAC x PRICE'!J30</f>
        <v>461349.03229345067</v>
      </c>
    </row>
    <row r="18" spans="2:6" x14ac:dyDescent="0.3">
      <c r="B18" s="6">
        <v>15</v>
      </c>
      <c r="C18" s="20">
        <f>'Simulador SAC x PRICE'!E31</f>
        <v>5986.6666666666642</v>
      </c>
      <c r="D18" s="20">
        <f>'Simulador SAC x PRICE'!H31</f>
        <v>4868.4796039765415</v>
      </c>
      <c r="E18" s="20">
        <f>'Simulador SAC x PRICE'!F31</f>
        <v>439999.99999999971</v>
      </c>
      <c r="F18" s="20">
        <f>'Simulador SAC x PRICE'!J31</f>
        <v>459940.67043167498</v>
      </c>
    </row>
    <row r="19" spans="2:6" x14ac:dyDescent="0.3">
      <c r="B19" s="6">
        <v>16</v>
      </c>
      <c r="C19" s="20">
        <f>'Simulador SAC x PRICE'!E32</f>
        <v>5966.6666666666642</v>
      </c>
      <c r="D19" s="20">
        <f>'Simulador SAC x PRICE'!H32</f>
        <v>4868.4796039765415</v>
      </c>
      <c r="E19" s="20">
        <f>'Simulador SAC x PRICE'!F32</f>
        <v>437333.33333333302</v>
      </c>
      <c r="F19" s="20">
        <f>'Simulador SAC x PRICE'!J32</f>
        <v>458521.74585593602</v>
      </c>
    </row>
    <row r="20" spans="2:6" x14ac:dyDescent="0.3">
      <c r="B20" s="6">
        <v>17</v>
      </c>
      <c r="C20" s="20">
        <f>'Simulador SAC x PRICE'!E33</f>
        <v>5946.6666666666642</v>
      </c>
      <c r="D20" s="20">
        <f>'Simulador SAC x PRICE'!H33</f>
        <v>4868.4796039765415</v>
      </c>
      <c r="E20" s="20">
        <f>'Simulador SAC x PRICE'!F33</f>
        <v>434666.66666666634</v>
      </c>
      <c r="F20" s="20">
        <f>'Simulador SAC x PRICE'!J33</f>
        <v>457092.17934587901</v>
      </c>
    </row>
    <row r="21" spans="2:6" x14ac:dyDescent="0.3">
      <c r="B21" s="6">
        <v>18</v>
      </c>
      <c r="C21" s="20">
        <f>'Simulador SAC x PRICE'!E34</f>
        <v>5926.6666666666642</v>
      </c>
      <c r="D21" s="20">
        <f>'Simulador SAC x PRICE'!H34</f>
        <v>4868.4796039765415</v>
      </c>
      <c r="E21" s="20">
        <f>'Simulador SAC x PRICE'!F34</f>
        <v>431999.99999999965</v>
      </c>
      <c r="F21" s="20">
        <f>'Simulador SAC x PRICE'!J34</f>
        <v>455651.89108699653</v>
      </c>
    </row>
    <row r="22" spans="2:6" x14ac:dyDescent="0.3">
      <c r="B22" s="6">
        <v>19</v>
      </c>
      <c r="C22" s="20">
        <f>'Simulador SAC x PRICE'!E35</f>
        <v>5906.6666666666642</v>
      </c>
      <c r="D22" s="20">
        <f>'Simulador SAC x PRICE'!H35</f>
        <v>4868.4796039765415</v>
      </c>
      <c r="E22" s="20">
        <f>'Simulador SAC x PRICE'!F35</f>
        <v>429333.33333333296</v>
      </c>
      <c r="F22" s="20">
        <f>'Simulador SAC x PRICE'!J35</f>
        <v>454200.80066617246</v>
      </c>
    </row>
    <row r="23" spans="2:6" x14ac:dyDescent="0.3">
      <c r="B23" s="6">
        <v>20</v>
      </c>
      <c r="C23" s="20">
        <f>'Simulador SAC x PRICE'!E36</f>
        <v>5886.6666666666642</v>
      </c>
      <c r="D23" s="20">
        <f>'Simulador SAC x PRICE'!H36</f>
        <v>4868.4796039765415</v>
      </c>
      <c r="E23" s="20">
        <f>'Simulador SAC x PRICE'!F36</f>
        <v>426666.66666666628</v>
      </c>
      <c r="F23" s="20">
        <f>'Simulador SAC x PRICE'!J36</f>
        <v>452738.82706719224</v>
      </c>
    </row>
    <row r="24" spans="2:6" x14ac:dyDescent="0.3">
      <c r="B24" s="6">
        <v>21</v>
      </c>
      <c r="C24" s="20">
        <f>'Simulador SAC x PRICE'!E37</f>
        <v>5866.6666666666633</v>
      </c>
      <c r="D24" s="20">
        <f>'Simulador SAC x PRICE'!H37</f>
        <v>4868.4796039765415</v>
      </c>
      <c r="E24" s="20">
        <f>'Simulador SAC x PRICE'!F37</f>
        <v>423999.99999999959</v>
      </c>
      <c r="F24" s="20">
        <f>'Simulador SAC x PRICE'!J37</f>
        <v>451265.88866621966</v>
      </c>
    </row>
    <row r="25" spans="2:6" x14ac:dyDescent="0.3">
      <c r="B25" s="6">
        <v>22</v>
      </c>
      <c r="C25" s="20">
        <f>'Simulador SAC x PRICE'!E38</f>
        <v>5846.6666666666633</v>
      </c>
      <c r="D25" s="20">
        <f>'Simulador SAC x PRICE'!H38</f>
        <v>4868.4796039765415</v>
      </c>
      <c r="E25" s="20">
        <f>'Simulador SAC x PRICE'!F38</f>
        <v>421333.33333333291</v>
      </c>
      <c r="F25" s="20">
        <f>'Simulador SAC x PRICE'!J38</f>
        <v>449781.90322723979</v>
      </c>
    </row>
    <row r="26" spans="2:6" x14ac:dyDescent="0.3">
      <c r="B26" s="6">
        <v>23</v>
      </c>
      <c r="C26" s="20">
        <f>'Simulador SAC x PRICE'!E39</f>
        <v>5826.6666666666633</v>
      </c>
      <c r="D26" s="20">
        <f>'Simulador SAC x PRICE'!H39</f>
        <v>4868.4796039765415</v>
      </c>
      <c r="E26" s="20">
        <f>'Simulador SAC x PRICE'!F39</f>
        <v>418666.66666666622</v>
      </c>
      <c r="F26" s="20">
        <f>'Simulador SAC x PRICE'!J39</f>
        <v>448286.78789746756</v>
      </c>
    </row>
    <row r="27" spans="2:6" x14ac:dyDescent="0.3">
      <c r="B27" s="6">
        <v>24</v>
      </c>
      <c r="C27" s="20">
        <f>'Simulador SAC x PRICE'!E40</f>
        <v>5806.6666666666624</v>
      </c>
      <c r="D27" s="20">
        <f>'Simulador SAC x PRICE'!H40</f>
        <v>4868.4796039765415</v>
      </c>
      <c r="E27" s="20">
        <f>'Simulador SAC x PRICE'!F40</f>
        <v>415999.99999999953</v>
      </c>
      <c r="F27" s="20">
        <f>'Simulador SAC x PRICE'!J40</f>
        <v>446780.45920272201</v>
      </c>
    </row>
    <row r="28" spans="2:6" x14ac:dyDescent="0.3">
      <c r="B28" s="6">
        <v>25</v>
      </c>
      <c r="C28" s="20">
        <f>'Simulador SAC x PRICE'!E41</f>
        <v>5786.6666666666624</v>
      </c>
      <c r="D28" s="20">
        <f>'Simulador SAC x PRICE'!H41</f>
        <v>4868.4796039765415</v>
      </c>
      <c r="E28" s="20">
        <f>'Simulador SAC x PRICE'!F41</f>
        <v>413333.33333333285</v>
      </c>
      <c r="F28" s="20">
        <f>'Simulador SAC x PRICE'!J41</f>
        <v>445262.83304276585</v>
      </c>
    </row>
    <row r="29" spans="2:6" x14ac:dyDescent="0.3">
      <c r="B29" s="6">
        <v>26</v>
      </c>
      <c r="C29" s="20">
        <f>'Simulador SAC x PRICE'!E42</f>
        <v>5766.6666666666624</v>
      </c>
      <c r="D29" s="20">
        <f>'Simulador SAC x PRICE'!H42</f>
        <v>4868.4796039765415</v>
      </c>
      <c r="E29" s="20">
        <f>'Simulador SAC x PRICE'!F42</f>
        <v>410666.66666666616</v>
      </c>
      <c r="F29" s="20">
        <f>'Simulador SAC x PRICE'!J42</f>
        <v>443733.82468661008</v>
      </c>
    </row>
    <row r="30" spans="2:6" x14ac:dyDescent="0.3">
      <c r="B30" s="6">
        <v>27</v>
      </c>
      <c r="C30" s="20">
        <f>'Simulador SAC x PRICE'!E43</f>
        <v>5746.6666666666624</v>
      </c>
      <c r="D30" s="20">
        <f>'Simulador SAC x PRICE'!H43</f>
        <v>4868.4796039765415</v>
      </c>
      <c r="E30" s="20">
        <f>'Simulador SAC x PRICE'!F43</f>
        <v>407999.99999999948</v>
      </c>
      <c r="F30" s="20">
        <f>'Simulador SAC x PRICE'!J43</f>
        <v>442193.34876778314</v>
      </c>
    </row>
    <row r="31" spans="2:6" x14ac:dyDescent="0.3">
      <c r="B31" s="6">
        <v>28</v>
      </c>
      <c r="C31" s="20">
        <f>'Simulador SAC x PRICE'!E44</f>
        <v>5726.6666666666624</v>
      </c>
      <c r="D31" s="20">
        <f>'Simulador SAC x PRICE'!H44</f>
        <v>4868.4796039765415</v>
      </c>
      <c r="E31" s="20">
        <f>'Simulador SAC x PRICE'!F44</f>
        <v>405333.33333333279</v>
      </c>
      <c r="F31" s="20">
        <f>'Simulador SAC x PRICE'!J44</f>
        <v>440641.31927956495</v>
      </c>
    </row>
    <row r="32" spans="2:6" x14ac:dyDescent="0.3">
      <c r="B32" s="6">
        <v>29</v>
      </c>
      <c r="C32" s="20">
        <f>'Simulador SAC x PRICE'!E45</f>
        <v>5706.6666666666624</v>
      </c>
      <c r="D32" s="20">
        <f>'Simulador SAC x PRICE'!H45</f>
        <v>4868.4796039765415</v>
      </c>
      <c r="E32" s="20">
        <f>'Simulador SAC x PRICE'!F45</f>
        <v>402666.6666666661</v>
      </c>
      <c r="F32" s="20">
        <f>'Simulador SAC x PRICE'!J45</f>
        <v>439077.64957018517</v>
      </c>
    </row>
    <row r="33" spans="2:6" x14ac:dyDescent="0.3">
      <c r="B33" s="6">
        <v>30</v>
      </c>
      <c r="C33" s="20">
        <f>'Simulador SAC x PRICE'!E46</f>
        <v>5686.6666666666624</v>
      </c>
      <c r="D33" s="20">
        <f>'Simulador SAC x PRICE'!H46</f>
        <v>4868.4796039765415</v>
      </c>
      <c r="E33" s="20">
        <f>'Simulador SAC x PRICE'!F46</f>
        <v>399999.99999999942</v>
      </c>
      <c r="F33" s="20">
        <f>'Simulador SAC x PRICE'!J46</f>
        <v>437502.25233798503</v>
      </c>
    </row>
    <row r="34" spans="2:6" x14ac:dyDescent="0.3">
      <c r="B34" s="6">
        <v>31</v>
      </c>
      <c r="C34" s="20">
        <f>'Simulador SAC x PRICE'!E47</f>
        <v>5666.6666666666624</v>
      </c>
      <c r="D34" s="20">
        <f>'Simulador SAC x PRICE'!H47</f>
        <v>4868.4796039765415</v>
      </c>
      <c r="E34" s="20">
        <f>'Simulador SAC x PRICE'!F47</f>
        <v>397333.33333333273</v>
      </c>
      <c r="F34" s="20">
        <f>'Simulador SAC x PRICE'!J47</f>
        <v>435915.03962654335</v>
      </c>
    </row>
    <row r="35" spans="2:6" x14ac:dyDescent="0.3">
      <c r="B35" s="6">
        <v>32</v>
      </c>
      <c r="C35" s="20">
        <f>'Simulador SAC x PRICE'!E48</f>
        <v>5646.6666666666624</v>
      </c>
      <c r="D35" s="20">
        <f>'Simulador SAC x PRICE'!H48</f>
        <v>4868.4796039765415</v>
      </c>
      <c r="E35" s="20">
        <f>'Simulador SAC x PRICE'!F48</f>
        <v>394666.66666666605</v>
      </c>
      <c r="F35" s="20">
        <f>'Simulador SAC x PRICE'!J48</f>
        <v>434315.92281976587</v>
      </c>
    </row>
    <row r="36" spans="2:6" x14ac:dyDescent="0.3">
      <c r="B36" s="6">
        <v>33</v>
      </c>
      <c r="C36" s="20">
        <f>'Simulador SAC x PRICE'!E49</f>
        <v>5626.6666666666624</v>
      </c>
      <c r="D36" s="20">
        <f>'Simulador SAC x PRICE'!H49</f>
        <v>4868.4796039765415</v>
      </c>
      <c r="E36" s="20">
        <f>'Simulador SAC x PRICE'!F49</f>
        <v>391999.99999999936</v>
      </c>
      <c r="F36" s="20">
        <f>'Simulador SAC x PRICE'!J49</f>
        <v>432704.8126369376</v>
      </c>
    </row>
    <row r="37" spans="2:6" x14ac:dyDescent="0.3">
      <c r="B37" s="6">
        <v>34</v>
      </c>
      <c r="C37" s="20">
        <f>'Simulador SAC x PRICE'!E50</f>
        <v>5606.6666666666615</v>
      </c>
      <c r="D37" s="20">
        <f>'Simulador SAC x PRICE'!H50</f>
        <v>4868.4796039765415</v>
      </c>
      <c r="E37" s="20">
        <f>'Simulador SAC x PRICE'!F50</f>
        <v>389333.33333333267</v>
      </c>
      <c r="F37" s="20">
        <f>'Simulador SAC x PRICE'!J50</f>
        <v>431081.61912773811</v>
      </c>
    </row>
    <row r="38" spans="2:6" x14ac:dyDescent="0.3">
      <c r="B38" s="6">
        <v>35</v>
      </c>
      <c r="C38" s="20">
        <f>'Simulador SAC x PRICE'!E51</f>
        <v>5586.6666666666615</v>
      </c>
      <c r="D38" s="20">
        <f>'Simulador SAC x PRICE'!H51</f>
        <v>4868.4796039765415</v>
      </c>
      <c r="E38" s="20">
        <f>'Simulador SAC x PRICE'!F51</f>
        <v>386666.66666666599</v>
      </c>
      <c r="F38" s="20">
        <f>'Simulador SAC x PRICE'!J51</f>
        <v>429446.25166721962</v>
      </c>
    </row>
    <row r="39" spans="2:6" x14ac:dyDescent="0.3">
      <c r="B39" s="6">
        <v>36</v>
      </c>
      <c r="C39" s="20">
        <f>'Simulador SAC x PRICE'!E52</f>
        <v>5566.6666666666615</v>
      </c>
      <c r="D39" s="20">
        <f>'Simulador SAC x PRICE'!H52</f>
        <v>4868.4796039765415</v>
      </c>
      <c r="E39" s="20">
        <f>'Simulador SAC x PRICE'!F52</f>
        <v>383999.9999999993</v>
      </c>
      <c r="F39" s="20">
        <f>'Simulador SAC x PRICE'!J52</f>
        <v>427798.61895074724</v>
      </c>
    </row>
    <row r="40" spans="2:6" x14ac:dyDescent="0.3">
      <c r="B40" s="6">
        <v>37</v>
      </c>
      <c r="C40" s="20">
        <f>'Simulador SAC x PRICE'!E53</f>
        <v>5546.6666666666606</v>
      </c>
      <c r="D40" s="20">
        <f>'Simulador SAC x PRICE'!H53</f>
        <v>4868.4796039765415</v>
      </c>
      <c r="E40" s="20">
        <f>'Simulador SAC x PRICE'!F53</f>
        <v>381333.33333333262</v>
      </c>
      <c r="F40" s="20">
        <f>'Simulador SAC x PRICE'!J53</f>
        <v>426138.62898890133</v>
      </c>
    </row>
    <row r="41" spans="2:6" x14ac:dyDescent="0.3">
      <c r="B41" s="6">
        <v>38</v>
      </c>
      <c r="C41" s="20">
        <f>'Simulador SAC x PRICE'!E54</f>
        <v>5526.6666666666606</v>
      </c>
      <c r="D41" s="20">
        <f>'Simulador SAC x PRICE'!H54</f>
        <v>4868.4796039765415</v>
      </c>
      <c r="E41" s="20">
        <f>'Simulador SAC x PRICE'!F54</f>
        <v>378666.66666666593</v>
      </c>
      <c r="F41" s="20">
        <f>'Simulador SAC x PRICE'!J54</f>
        <v>424466.18910234154</v>
      </c>
    </row>
    <row r="42" spans="2:6" x14ac:dyDescent="0.3">
      <c r="B42" s="6">
        <v>39</v>
      </c>
      <c r="C42" s="20">
        <f>'Simulador SAC x PRICE'!E55</f>
        <v>5506.6666666666606</v>
      </c>
      <c r="D42" s="20">
        <f>'Simulador SAC x PRICE'!H55</f>
        <v>4868.4796039765415</v>
      </c>
      <c r="E42" s="20">
        <f>'Simulador SAC x PRICE'!F55</f>
        <v>375999.99999999924</v>
      </c>
      <c r="F42" s="20">
        <f>'Simulador SAC x PRICE'!J55</f>
        <v>422781.20591663255</v>
      </c>
    </row>
    <row r="43" spans="2:6" x14ac:dyDescent="0.3">
      <c r="B43" s="6">
        <v>40</v>
      </c>
      <c r="C43" s="20">
        <f>'Simulador SAC x PRICE'!E56</f>
        <v>5486.6666666666606</v>
      </c>
      <c r="D43" s="20">
        <f>'Simulador SAC x PRICE'!H56</f>
        <v>4868.4796039765415</v>
      </c>
      <c r="E43" s="20">
        <f>'Simulador SAC x PRICE'!F56</f>
        <v>373333.33333333256</v>
      </c>
      <c r="F43" s="20">
        <f>'Simulador SAC x PRICE'!J56</f>
        <v>421083.58535703074</v>
      </c>
    </row>
    <row r="44" spans="2:6" x14ac:dyDescent="0.3">
      <c r="B44" s="6">
        <v>41</v>
      </c>
      <c r="C44" s="20">
        <f>'Simulador SAC x PRICE'!E57</f>
        <v>5466.6666666666606</v>
      </c>
      <c r="D44" s="20">
        <f>'Simulador SAC x PRICE'!H57</f>
        <v>4868.4796039765415</v>
      </c>
      <c r="E44" s="20">
        <f>'Simulador SAC x PRICE'!F57</f>
        <v>370666.66666666587</v>
      </c>
      <c r="F44" s="20">
        <f>'Simulador SAC x PRICE'!J57</f>
        <v>419373.23264323192</v>
      </c>
    </row>
    <row r="45" spans="2:6" x14ac:dyDescent="0.3">
      <c r="B45" s="6">
        <v>42</v>
      </c>
      <c r="C45" s="20">
        <f>'Simulador SAC x PRICE'!E58</f>
        <v>5446.6666666666606</v>
      </c>
      <c r="D45" s="20">
        <f>'Simulador SAC x PRICE'!H58</f>
        <v>4868.4796039765415</v>
      </c>
      <c r="E45" s="20">
        <f>'Simulador SAC x PRICE'!F58</f>
        <v>367999.99999999919</v>
      </c>
      <c r="F45" s="20">
        <f>'Simulador SAC x PRICE'!J58</f>
        <v>417650.0522840796</v>
      </c>
    </row>
    <row r="46" spans="2:6" x14ac:dyDescent="0.3">
      <c r="B46" s="6">
        <v>43</v>
      </c>
      <c r="C46" s="20">
        <f>'Simulador SAC x PRICE'!E59</f>
        <v>5426.6666666666606</v>
      </c>
      <c r="D46" s="20">
        <f>'Simulador SAC x PRICE'!H59</f>
        <v>4868.4796039765415</v>
      </c>
      <c r="E46" s="20">
        <f>'Simulador SAC x PRICE'!F59</f>
        <v>365333.3333333325</v>
      </c>
      <c r="F46" s="20">
        <f>'Simulador SAC x PRICE'!J59</f>
        <v>415913.94807223364</v>
      </c>
    </row>
    <row r="47" spans="2:6" x14ac:dyDescent="0.3">
      <c r="B47" s="6">
        <v>44</v>
      </c>
      <c r="C47" s="20">
        <f>'Simulador SAC x PRICE'!E60</f>
        <v>5406.6666666666606</v>
      </c>
      <c r="D47" s="20">
        <f>'Simulador SAC x PRICE'!H60</f>
        <v>4868.4796039765415</v>
      </c>
      <c r="E47" s="20">
        <f>'Simulador SAC x PRICE'!F60</f>
        <v>362666.66666666581</v>
      </c>
      <c r="F47" s="20">
        <f>'Simulador SAC x PRICE'!J60</f>
        <v>414164.82307879883</v>
      </c>
    </row>
    <row r="48" spans="2:6" x14ac:dyDescent="0.3">
      <c r="B48" s="6">
        <v>45</v>
      </c>
      <c r="C48" s="20">
        <f>'Simulador SAC x PRICE'!E61</f>
        <v>5386.6666666666606</v>
      </c>
      <c r="D48" s="20">
        <f>'Simulador SAC x PRICE'!H61</f>
        <v>4868.4796039765415</v>
      </c>
      <c r="E48" s="20">
        <f>'Simulador SAC x PRICE'!F61</f>
        <v>359999.99999999913</v>
      </c>
      <c r="F48" s="20">
        <f>'Simulador SAC x PRICE'!J61</f>
        <v>412402.57964791328</v>
      </c>
    </row>
    <row r="49" spans="2:6" x14ac:dyDescent="0.3">
      <c r="B49" s="6">
        <v>46</v>
      </c>
      <c r="C49" s="20">
        <f>'Simulador SAC x PRICE'!E62</f>
        <v>5366.6666666666597</v>
      </c>
      <c r="D49" s="20">
        <f>'Simulador SAC x PRICE'!H62</f>
        <v>4868.4796039765415</v>
      </c>
      <c r="E49" s="20">
        <f>'Simulador SAC x PRICE'!F62</f>
        <v>357333.33333333244</v>
      </c>
      <c r="F49" s="20">
        <f>'Simulador SAC x PRICE'!J62</f>
        <v>410627.11939129612</v>
      </c>
    </row>
    <row r="50" spans="2:6" x14ac:dyDescent="0.3">
      <c r="B50" s="6">
        <v>47</v>
      </c>
      <c r="C50" s="20">
        <f>'Simulador SAC x PRICE'!E63</f>
        <v>5346.6666666666597</v>
      </c>
      <c r="D50" s="20">
        <f>'Simulador SAC x PRICE'!H63</f>
        <v>4868.4796039765415</v>
      </c>
      <c r="E50" s="20">
        <f>'Simulador SAC x PRICE'!F63</f>
        <v>354666.66666666575</v>
      </c>
      <c r="F50" s="20">
        <f>'Simulador SAC x PRICE'!J63</f>
        <v>408838.3431827543</v>
      </c>
    </row>
    <row r="51" spans="2:6" x14ac:dyDescent="0.3">
      <c r="B51" s="6">
        <v>48</v>
      </c>
      <c r="C51" s="20">
        <f>'Simulador SAC x PRICE'!E64</f>
        <v>5326.6666666666597</v>
      </c>
      <c r="D51" s="20">
        <f>'Simulador SAC x PRICE'!H64</f>
        <v>4868.4796039765415</v>
      </c>
      <c r="E51" s="20">
        <f>'Simulador SAC x PRICE'!F64</f>
        <v>351999.99999999907</v>
      </c>
      <c r="F51" s="20">
        <f>'Simulador SAC x PRICE'!J64</f>
        <v>407036.15115264844</v>
      </c>
    </row>
    <row r="52" spans="2:6" x14ac:dyDescent="0.3">
      <c r="B52" s="6">
        <v>49</v>
      </c>
      <c r="C52" s="20">
        <f>'Simulador SAC x PRICE'!E65</f>
        <v>5306.6666666666588</v>
      </c>
      <c r="D52" s="20">
        <f>'Simulador SAC x PRICE'!H65</f>
        <v>4868.4796039765415</v>
      </c>
      <c r="E52" s="20">
        <f>'Simulador SAC x PRICE'!F65</f>
        <v>349333.33333333238</v>
      </c>
      <c r="F52" s="20">
        <f>'Simulador SAC x PRICE'!J65</f>
        <v>405220.44268231676</v>
      </c>
    </row>
    <row r="53" spans="2:6" x14ac:dyDescent="0.3">
      <c r="B53" s="6">
        <v>50</v>
      </c>
      <c r="C53" s="20">
        <f>'Simulador SAC x PRICE'!E66</f>
        <v>5286.6666666666588</v>
      </c>
      <c r="D53" s="20">
        <f>'Simulador SAC x PRICE'!H66</f>
        <v>4868.4796039765415</v>
      </c>
      <c r="E53" s="20">
        <f>'Simulador SAC x PRICE'!F66</f>
        <v>346666.6666666657</v>
      </c>
      <c r="F53" s="20">
        <f>'Simulador SAC x PRICE'!J66</f>
        <v>403391.11639845761</v>
      </c>
    </row>
    <row r="54" spans="2:6" x14ac:dyDescent="0.3">
      <c r="B54" s="6">
        <v>51</v>
      </c>
      <c r="C54" s="20">
        <f>'Simulador SAC x PRICE'!E67</f>
        <v>5266.6666666666588</v>
      </c>
      <c r="D54" s="20">
        <f>'Simulador SAC x PRICE'!H67</f>
        <v>4868.4796039765415</v>
      </c>
      <c r="E54" s="20">
        <f>'Simulador SAC x PRICE'!F67</f>
        <v>343999.99999999901</v>
      </c>
      <c r="F54" s="20">
        <f>'Simulador SAC x PRICE'!J67</f>
        <v>401548.0701674695</v>
      </c>
    </row>
    <row r="55" spans="2:6" x14ac:dyDescent="0.3">
      <c r="B55" s="6">
        <v>52</v>
      </c>
      <c r="C55" s="20">
        <f>'Simulador SAC x PRICE'!E68</f>
        <v>5246.6666666666588</v>
      </c>
      <c r="D55" s="20">
        <f>'Simulador SAC x PRICE'!H68</f>
        <v>4868.4796039765415</v>
      </c>
      <c r="E55" s="20">
        <f>'Simulador SAC x PRICE'!F68</f>
        <v>341333.33333333232</v>
      </c>
      <c r="F55" s="20">
        <f>'Simulador SAC x PRICE'!J68</f>
        <v>399691.201089749</v>
      </c>
    </row>
    <row r="56" spans="2:6" x14ac:dyDescent="0.3">
      <c r="B56" s="6">
        <v>53</v>
      </c>
      <c r="C56" s="20">
        <f>'Simulador SAC x PRICE'!E69</f>
        <v>5226.6666666666588</v>
      </c>
      <c r="D56" s="20">
        <f>'Simulador SAC x PRICE'!H69</f>
        <v>4868.4796039765415</v>
      </c>
      <c r="E56" s="20">
        <f>'Simulador SAC x PRICE'!F69</f>
        <v>338666.66666666564</v>
      </c>
      <c r="F56" s="20">
        <f>'Simulador SAC x PRICE'!J69</f>
        <v>397820.40549394558</v>
      </c>
    </row>
    <row r="57" spans="2:6" x14ac:dyDescent="0.3">
      <c r="B57" s="6">
        <v>54</v>
      </c>
      <c r="C57" s="20">
        <f>'Simulador SAC x PRICE'!E70</f>
        <v>5206.6666666666588</v>
      </c>
      <c r="D57" s="20">
        <f>'Simulador SAC x PRICE'!H70</f>
        <v>4868.4796039765415</v>
      </c>
      <c r="E57" s="20">
        <f>'Simulador SAC x PRICE'!F70</f>
        <v>335999.99999999895</v>
      </c>
      <c r="F57" s="20">
        <f>'Simulador SAC x PRICE'!J70</f>
        <v>395935.57893117366</v>
      </c>
    </row>
    <row r="58" spans="2:6" x14ac:dyDescent="0.3">
      <c r="B58" s="6">
        <v>55</v>
      </c>
      <c r="C58" s="20">
        <f>'Simulador SAC x PRICE'!E71</f>
        <v>5186.6666666666588</v>
      </c>
      <c r="D58" s="20">
        <f>'Simulador SAC x PRICE'!H71</f>
        <v>4868.4796039765415</v>
      </c>
      <c r="E58" s="20">
        <f>'Simulador SAC x PRICE'!F71</f>
        <v>333333.33333333227</v>
      </c>
      <c r="F58" s="20">
        <f>'Simulador SAC x PRICE'!J71</f>
        <v>394036.6161691809</v>
      </c>
    </row>
    <row r="59" spans="2:6" x14ac:dyDescent="0.3">
      <c r="B59" s="6">
        <v>56</v>
      </c>
      <c r="C59" s="20">
        <f>'Simulador SAC x PRICE'!E72</f>
        <v>5166.6666666666588</v>
      </c>
      <c r="D59" s="20">
        <f>'Simulador SAC x PRICE'!H72</f>
        <v>4868.4796039765415</v>
      </c>
      <c r="E59" s="20">
        <f>'Simulador SAC x PRICE'!F72</f>
        <v>330666.66666666558</v>
      </c>
      <c r="F59" s="20">
        <f>'Simulador SAC x PRICE'!J72</f>
        <v>392123.41118647321</v>
      </c>
    </row>
    <row r="60" spans="2:6" x14ac:dyDescent="0.3">
      <c r="B60" s="6">
        <v>57</v>
      </c>
      <c r="C60" s="20">
        <f>'Simulador SAC x PRICE'!E73</f>
        <v>5146.6666666666588</v>
      </c>
      <c r="D60" s="20">
        <f>'Simulador SAC x PRICE'!H73</f>
        <v>4868.4796039765415</v>
      </c>
      <c r="E60" s="20">
        <f>'Simulador SAC x PRICE'!F73</f>
        <v>327999.99999999889</v>
      </c>
      <c r="F60" s="20">
        <f>'Simulador SAC x PRICE'!J73</f>
        <v>390195.85716639523</v>
      </c>
    </row>
    <row r="61" spans="2:6" x14ac:dyDescent="0.3">
      <c r="B61" s="6">
        <v>58</v>
      </c>
      <c r="C61" s="20">
        <f>'Simulador SAC x PRICE'!E74</f>
        <v>5126.6666666666588</v>
      </c>
      <c r="D61" s="20">
        <f>'Simulador SAC x PRICE'!H74</f>
        <v>4868.4796039765415</v>
      </c>
      <c r="E61" s="20">
        <f>'Simulador SAC x PRICE'!F74</f>
        <v>325333.33333333221</v>
      </c>
      <c r="F61" s="20">
        <f>'Simulador SAC x PRICE'!J74</f>
        <v>388253.84649116668</v>
      </c>
    </row>
    <row r="62" spans="2:6" x14ac:dyDescent="0.3">
      <c r="B62" s="6">
        <v>59</v>
      </c>
      <c r="C62" s="20">
        <f>'Simulador SAC x PRICE'!E75</f>
        <v>5106.6666666666579</v>
      </c>
      <c r="D62" s="20">
        <f>'Simulador SAC x PRICE'!H75</f>
        <v>4868.4796039765415</v>
      </c>
      <c r="E62" s="20">
        <f>'Simulador SAC x PRICE'!F75</f>
        <v>322666.66666666552</v>
      </c>
      <c r="F62" s="20">
        <f>'Simulador SAC x PRICE'!J75</f>
        <v>386297.2707358739</v>
      </c>
    </row>
    <row r="63" spans="2:6" x14ac:dyDescent="0.3">
      <c r="B63" s="6">
        <v>60</v>
      </c>
      <c r="C63" s="20">
        <f>'Simulador SAC x PRICE'!E76</f>
        <v>5086.6666666666579</v>
      </c>
      <c r="D63" s="20">
        <f>'Simulador SAC x PRICE'!H76</f>
        <v>4868.4796039765415</v>
      </c>
      <c r="E63" s="20">
        <f>'Simulador SAC x PRICE'!F76</f>
        <v>319999.99999999884</v>
      </c>
      <c r="F63" s="20">
        <f>'Simulador SAC x PRICE'!J76</f>
        <v>384326.02066241641</v>
      </c>
    </row>
  </sheetData>
  <mergeCells count="1"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Simulador SAC x PRICE</vt:lpstr>
      <vt:lpstr>Resumo Comparativo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Rezende</cp:lastModifiedBy>
  <dcterms:created xsi:type="dcterms:W3CDTF">2026-07-20T00:34:37Z</dcterms:created>
  <dcterms:modified xsi:type="dcterms:W3CDTF">2026-07-20T00:56:12Z</dcterms:modified>
</cp:coreProperties>
</file>