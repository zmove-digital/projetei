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ezende\Documents\New OpenCode Project\e-book_projetei.com\"/>
    </mc:Choice>
  </mc:AlternateContent>
  <xr:revisionPtr revIDLastSave="0" documentId="13_ncr:1_{F3AC302E-A334-4C7D-8856-80207C0789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dor SAC" sheetId="1" r:id="rId1"/>
    <sheet name="Comparação SAC vs PRICE" sheetId="2" r:id="rId2"/>
    <sheet name="Taxas Referenciais" sheetId="3" r:id="rId3"/>
    <sheet name="Custos Construção m²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24" i="4"/>
  <c r="B24" i="4"/>
  <c r="B8" i="1"/>
  <c r="C321" i="1" s="1"/>
  <c r="B7" i="1"/>
  <c r="C33" i="1" l="1"/>
  <c r="C75" i="1"/>
  <c r="C20" i="1"/>
  <c r="C37" i="1"/>
  <c r="C92" i="1"/>
  <c r="C118" i="1"/>
  <c r="E20" i="1"/>
  <c r="C48" i="1"/>
  <c r="C132" i="1"/>
  <c r="C21" i="1"/>
  <c r="C60" i="1"/>
  <c r="C137" i="1"/>
  <c r="C29" i="1"/>
  <c r="C73" i="1"/>
  <c r="C44" i="1"/>
  <c r="C23" i="1"/>
  <c r="C61" i="1"/>
  <c r="C170" i="1"/>
  <c r="C25" i="1"/>
  <c r="C63" i="1"/>
  <c r="C178" i="1"/>
  <c r="C24" i="1"/>
  <c r="C28" i="1"/>
  <c r="C32" i="1"/>
  <c r="C36" i="1"/>
  <c r="C52" i="1"/>
  <c r="C65" i="1"/>
  <c r="C67" i="1"/>
  <c r="C89" i="1"/>
  <c r="C105" i="1"/>
  <c r="C154" i="1"/>
  <c r="C27" i="1"/>
  <c r="C31" i="1"/>
  <c r="C35" i="1"/>
  <c r="C39" i="1"/>
  <c r="C57" i="1"/>
  <c r="C59" i="1"/>
  <c r="C76" i="1"/>
  <c r="C86" i="1"/>
  <c r="C102" i="1"/>
  <c r="C106" i="1"/>
  <c r="C204" i="1"/>
  <c r="C292" i="1"/>
  <c r="C41" i="1"/>
  <c r="C53" i="1"/>
  <c r="C55" i="1"/>
  <c r="C72" i="1"/>
  <c r="C162" i="1"/>
  <c r="C378" i="1"/>
  <c r="C374" i="1"/>
  <c r="C370" i="1"/>
  <c r="C366" i="1"/>
  <c r="C362" i="1"/>
  <c r="C358" i="1"/>
  <c r="C354" i="1"/>
  <c r="C350" i="1"/>
  <c r="C346" i="1"/>
  <c r="C342" i="1"/>
  <c r="C338" i="1"/>
  <c r="C334" i="1"/>
  <c r="C330" i="1"/>
  <c r="C326" i="1"/>
  <c r="C322" i="1"/>
  <c r="C318" i="1"/>
  <c r="C314" i="1"/>
  <c r="C310" i="1"/>
  <c r="C306" i="1"/>
  <c r="C302" i="1"/>
  <c r="C298" i="1"/>
  <c r="C294" i="1"/>
  <c r="C290" i="1"/>
  <c r="C286" i="1"/>
  <c r="C282" i="1"/>
  <c r="C278" i="1"/>
  <c r="C274" i="1"/>
  <c r="C270" i="1"/>
  <c r="C379" i="1"/>
  <c r="C375" i="1"/>
  <c r="C371" i="1"/>
  <c r="C367" i="1"/>
  <c r="C363" i="1"/>
  <c r="C359" i="1"/>
  <c r="C355" i="1"/>
  <c r="C351" i="1"/>
  <c r="C347" i="1"/>
  <c r="C343" i="1"/>
  <c r="C339" i="1"/>
  <c r="C335" i="1"/>
  <c r="C331" i="1"/>
  <c r="C327" i="1"/>
  <c r="C323" i="1"/>
  <c r="C319" i="1"/>
  <c r="C315" i="1"/>
  <c r="C311" i="1"/>
  <c r="C307" i="1"/>
  <c r="C303" i="1"/>
  <c r="C299" i="1"/>
  <c r="C295" i="1"/>
  <c r="C291" i="1"/>
  <c r="C287" i="1"/>
  <c r="C283" i="1"/>
  <c r="C279" i="1"/>
  <c r="C275" i="1"/>
  <c r="C372" i="1"/>
  <c r="C369" i="1"/>
  <c r="C340" i="1"/>
  <c r="C337" i="1"/>
  <c r="C308" i="1"/>
  <c r="C305" i="1"/>
  <c r="C276" i="1"/>
  <c r="C368" i="1"/>
  <c r="C365" i="1"/>
  <c r="C336" i="1"/>
  <c r="C333" i="1"/>
  <c r="C304" i="1"/>
  <c r="C301" i="1"/>
  <c r="C272" i="1"/>
  <c r="C364" i="1"/>
  <c r="C361" i="1"/>
  <c r="C332" i="1"/>
  <c r="C329" i="1"/>
  <c r="C300" i="1"/>
  <c r="C297" i="1"/>
  <c r="C263" i="1"/>
  <c r="C259" i="1"/>
  <c r="C255" i="1"/>
  <c r="C251" i="1"/>
  <c r="C247" i="1"/>
  <c r="C243" i="1"/>
  <c r="C239" i="1"/>
  <c r="C235" i="1"/>
  <c r="C360" i="1"/>
  <c r="C357" i="1"/>
  <c r="C328" i="1"/>
  <c r="C325" i="1"/>
  <c r="C296" i="1"/>
  <c r="C293" i="1"/>
  <c r="C267" i="1"/>
  <c r="C352" i="1"/>
  <c r="C349" i="1"/>
  <c r="C320" i="1"/>
  <c r="C317" i="1"/>
  <c r="C288" i="1"/>
  <c r="C285" i="1"/>
  <c r="C377" i="1"/>
  <c r="C348" i="1"/>
  <c r="C345" i="1"/>
  <c r="C316" i="1"/>
  <c r="C313" i="1"/>
  <c r="C284" i="1"/>
  <c r="C281" i="1"/>
  <c r="C265" i="1"/>
  <c r="C261" i="1"/>
  <c r="C257" i="1"/>
  <c r="C253" i="1"/>
  <c r="C249" i="1"/>
  <c r="C245" i="1"/>
  <c r="C241" i="1"/>
  <c r="C237" i="1"/>
  <c r="C233" i="1"/>
  <c r="C229" i="1"/>
  <c r="C225" i="1"/>
  <c r="C221" i="1"/>
  <c r="C217" i="1"/>
  <c r="C213" i="1"/>
  <c r="C209" i="1"/>
  <c r="C205" i="1"/>
  <c r="C201" i="1"/>
  <c r="C197" i="1"/>
  <c r="C353" i="1"/>
  <c r="C324" i="1"/>
  <c r="C271" i="1"/>
  <c r="C264" i="1"/>
  <c r="C256" i="1"/>
  <c r="C248" i="1"/>
  <c r="C240" i="1"/>
  <c r="C224" i="1"/>
  <c r="C208" i="1"/>
  <c r="C193" i="1"/>
  <c r="C189" i="1"/>
  <c r="C185" i="1"/>
  <c r="C181" i="1"/>
  <c r="C177" i="1"/>
  <c r="C173" i="1"/>
  <c r="C169" i="1"/>
  <c r="C165" i="1"/>
  <c r="C161" i="1"/>
  <c r="C157" i="1"/>
  <c r="C153" i="1"/>
  <c r="C149" i="1"/>
  <c r="C145" i="1"/>
  <c r="C289" i="1"/>
  <c r="C269" i="1"/>
  <c r="C260" i="1"/>
  <c r="C252" i="1"/>
  <c r="C244" i="1"/>
  <c r="C236" i="1"/>
  <c r="C232" i="1"/>
  <c r="C216" i="1"/>
  <c r="C200" i="1"/>
  <c r="C195" i="1"/>
  <c r="C191" i="1"/>
  <c r="C187" i="1"/>
  <c r="C183" i="1"/>
  <c r="C179" i="1"/>
  <c r="C175" i="1"/>
  <c r="C171" i="1"/>
  <c r="C167" i="1"/>
  <c r="C163" i="1"/>
  <c r="C159" i="1"/>
  <c r="C155" i="1"/>
  <c r="C151" i="1"/>
  <c r="C147" i="1"/>
  <c r="C143" i="1"/>
  <c r="C139" i="1"/>
  <c r="C135" i="1"/>
  <c r="C131" i="1"/>
  <c r="C127" i="1"/>
  <c r="C123" i="1"/>
  <c r="C373" i="1"/>
  <c r="C344" i="1"/>
  <c r="C230" i="1"/>
  <c r="C223" i="1"/>
  <c r="C214" i="1"/>
  <c r="C207" i="1"/>
  <c r="C198" i="1"/>
  <c r="C341" i="1"/>
  <c r="C312" i="1"/>
  <c r="C273" i="1"/>
  <c r="C262" i="1"/>
  <c r="C254" i="1"/>
  <c r="C246" i="1"/>
  <c r="C238" i="1"/>
  <c r="C226" i="1"/>
  <c r="C219" i="1"/>
  <c r="C210" i="1"/>
  <c r="C203" i="1"/>
  <c r="C196" i="1"/>
  <c r="C356" i="1"/>
  <c r="C212" i="1"/>
  <c r="C192" i="1"/>
  <c r="C184" i="1"/>
  <c r="C176" i="1"/>
  <c r="C168" i="1"/>
  <c r="C160" i="1"/>
  <c r="C152" i="1"/>
  <c r="C144" i="1"/>
  <c r="C134" i="1"/>
  <c r="C125" i="1"/>
  <c r="C119" i="1"/>
  <c r="C115" i="1"/>
  <c r="C111" i="1"/>
  <c r="C107" i="1"/>
  <c r="C103" i="1"/>
  <c r="C99" i="1"/>
  <c r="C95" i="1"/>
  <c r="C91" i="1"/>
  <c r="C87" i="1"/>
  <c r="C83" i="1"/>
  <c r="C79" i="1"/>
  <c r="C268" i="1"/>
  <c r="C228" i="1"/>
  <c r="C188" i="1"/>
  <c r="C180" i="1"/>
  <c r="C172" i="1"/>
  <c r="C164" i="1"/>
  <c r="C156" i="1"/>
  <c r="C148" i="1"/>
  <c r="C133" i="1"/>
  <c r="C126" i="1"/>
  <c r="C121" i="1"/>
  <c r="C117" i="1"/>
  <c r="C113" i="1"/>
  <c r="C309" i="1"/>
  <c r="C280" i="1"/>
  <c r="C231" i="1"/>
  <c r="C206" i="1"/>
  <c r="C199" i="1"/>
  <c r="C140" i="1"/>
  <c r="C277" i="1"/>
  <c r="C266" i="1"/>
  <c r="C250" i="1"/>
  <c r="C234" i="1"/>
  <c r="C227" i="1"/>
  <c r="C202" i="1"/>
  <c r="C136" i="1"/>
  <c r="C190" i="1"/>
  <c r="C174" i="1"/>
  <c r="C158" i="1"/>
  <c r="C142" i="1"/>
  <c r="C138" i="1"/>
  <c r="C129" i="1"/>
  <c r="C122" i="1"/>
  <c r="C110" i="1"/>
  <c r="C84" i="1"/>
  <c r="C81" i="1"/>
  <c r="C78" i="1"/>
  <c r="C74" i="1"/>
  <c r="C70" i="1"/>
  <c r="C66" i="1"/>
  <c r="C62" i="1"/>
  <c r="C58" i="1"/>
  <c r="C54" i="1"/>
  <c r="C50" i="1"/>
  <c r="C46" i="1"/>
  <c r="C222" i="1"/>
  <c r="C215" i="1"/>
  <c r="C141" i="1"/>
  <c r="C124" i="1"/>
  <c r="C120" i="1"/>
  <c r="C96" i="1"/>
  <c r="C93" i="1"/>
  <c r="C90" i="1"/>
  <c r="C376" i="1"/>
  <c r="C258" i="1"/>
  <c r="C116" i="1"/>
  <c r="C88" i="1"/>
  <c r="C85" i="1"/>
  <c r="C82" i="1"/>
  <c r="C220" i="1"/>
  <c r="C182" i="1"/>
  <c r="C166" i="1"/>
  <c r="C150" i="1"/>
  <c r="C128" i="1"/>
  <c r="C114" i="1"/>
  <c r="C100" i="1"/>
  <c r="C97" i="1"/>
  <c r="C94" i="1"/>
  <c r="C130" i="1"/>
  <c r="C112" i="1"/>
  <c r="C109" i="1"/>
  <c r="C242" i="1"/>
  <c r="C218" i="1"/>
  <c r="C211" i="1"/>
  <c r="C104" i="1"/>
  <c r="C101" i="1"/>
  <c r="C98" i="1"/>
  <c r="C22" i="1"/>
  <c r="C26" i="1"/>
  <c r="C30" i="1"/>
  <c r="C34" i="1"/>
  <c r="C38" i="1"/>
  <c r="C43" i="1"/>
  <c r="C49" i="1"/>
  <c r="C51" i="1"/>
  <c r="C68" i="1"/>
  <c r="C77" i="1"/>
  <c r="C186" i="1"/>
  <c r="C45" i="1"/>
  <c r="C47" i="1"/>
  <c r="C64" i="1"/>
  <c r="C80" i="1"/>
  <c r="C108" i="1"/>
  <c r="C146" i="1"/>
  <c r="C40" i="1"/>
  <c r="C42" i="1"/>
  <c r="C56" i="1"/>
  <c r="C69" i="1"/>
  <c r="C71" i="1"/>
  <c r="C194" i="1"/>
  <c r="H20" i="1" l="1"/>
  <c r="D20" i="1"/>
  <c r="B20" i="1" s="1"/>
  <c r="E21" i="1"/>
  <c r="H21" i="1" s="1"/>
  <c r="D21" i="1"/>
  <c r="B21" i="1" s="1"/>
  <c r="E22" i="1" l="1"/>
  <c r="D22" i="1"/>
  <c r="B22" i="1" s="1"/>
  <c r="E23" i="1"/>
  <c r="H22" i="1"/>
  <c r="D23" i="1" l="1"/>
  <c r="B23" i="1" s="1"/>
  <c r="H23" i="1"/>
  <c r="E24" i="1"/>
  <c r="H24" i="1" l="1"/>
  <c r="D24" i="1"/>
  <c r="B24" i="1" s="1"/>
  <c r="E25" i="1"/>
  <c r="D25" i="1" l="1"/>
  <c r="B25" i="1" s="1"/>
  <c r="H25" i="1"/>
  <c r="E26" i="1"/>
  <c r="D26" i="1" l="1"/>
  <c r="B26" i="1" s="1"/>
  <c r="E27" i="1"/>
  <c r="H26" i="1"/>
  <c r="E28" i="1" l="1"/>
  <c r="D27" i="1"/>
  <c r="B27" i="1" s="1"/>
  <c r="H27" i="1"/>
  <c r="D28" i="1" l="1"/>
  <c r="B28" i="1" s="1"/>
  <c r="H28" i="1"/>
  <c r="E29" i="1"/>
  <c r="D29" i="1" l="1"/>
  <c r="B29" i="1" s="1"/>
  <c r="H29" i="1"/>
  <c r="E30" i="1"/>
  <c r="D30" i="1" l="1"/>
  <c r="B30" i="1" s="1"/>
  <c r="E31" i="1"/>
  <c r="H30" i="1"/>
  <c r="D31" i="1" l="1"/>
  <c r="B31" i="1" s="1"/>
  <c r="E32" i="1"/>
  <c r="H31" i="1"/>
  <c r="D32" i="1" l="1"/>
  <c r="B32" i="1" s="1"/>
  <c r="H32" i="1"/>
  <c r="E33" i="1"/>
  <c r="D33" i="1" l="1"/>
  <c r="B33" i="1" s="1"/>
  <c r="H33" i="1"/>
  <c r="E34" i="1"/>
  <c r="D34" i="1" l="1"/>
  <c r="B34" i="1" s="1"/>
  <c r="E35" i="1"/>
  <c r="H34" i="1"/>
  <c r="D35" i="1" l="1"/>
  <c r="B35" i="1" s="1"/>
  <c r="E36" i="1"/>
  <c r="H35" i="1"/>
  <c r="H36" i="1" l="1"/>
  <c r="D36" i="1"/>
  <c r="B36" i="1" s="1"/>
  <c r="E37" i="1"/>
  <c r="D37" i="1" l="1"/>
  <c r="B37" i="1" s="1"/>
  <c r="H37" i="1"/>
  <c r="E38" i="1"/>
  <c r="D38" i="1" l="1"/>
  <c r="B38" i="1" s="1"/>
  <c r="E39" i="1"/>
  <c r="H38" i="1"/>
  <c r="D39" i="1" l="1"/>
  <c r="B39" i="1" s="1"/>
  <c r="H39" i="1"/>
  <c r="E40" i="1"/>
  <c r="D40" i="1" l="1"/>
  <c r="B40" i="1" s="1"/>
  <c r="E41" i="1"/>
  <c r="H40" i="1"/>
  <c r="D41" i="1" l="1"/>
  <c r="B41" i="1" s="1"/>
  <c r="E42" i="1"/>
  <c r="H41" i="1"/>
  <c r="E43" i="1" l="1"/>
  <c r="H42" i="1"/>
  <c r="D42" i="1"/>
  <c r="B42" i="1" s="1"/>
  <c r="D43" i="1" l="1"/>
  <c r="B43" i="1" s="1"/>
  <c r="H43" i="1"/>
  <c r="E44" i="1"/>
  <c r="D44" i="1" l="1"/>
  <c r="B44" i="1" s="1"/>
  <c r="E45" i="1"/>
  <c r="H44" i="1"/>
  <c r="E46" i="1" l="1"/>
  <c r="H45" i="1"/>
  <c r="D45" i="1"/>
  <c r="B45" i="1" s="1"/>
  <c r="E47" i="1" l="1"/>
  <c r="H46" i="1"/>
  <c r="D46" i="1"/>
  <c r="B46" i="1" s="1"/>
  <c r="D47" i="1" l="1"/>
  <c r="B47" i="1" s="1"/>
  <c r="H47" i="1"/>
  <c r="E48" i="1"/>
  <c r="H48" i="1" l="1"/>
  <c r="D48" i="1"/>
  <c r="B48" i="1" s="1"/>
  <c r="E49" i="1"/>
  <c r="H49" i="1" l="1"/>
  <c r="D49" i="1"/>
  <c r="B49" i="1" s="1"/>
  <c r="E50" i="1"/>
  <c r="E51" i="1" l="1"/>
  <c r="H50" i="1"/>
  <c r="D50" i="1"/>
  <c r="B50" i="1" s="1"/>
  <c r="D51" i="1" l="1"/>
  <c r="B51" i="1" s="1"/>
  <c r="E52" i="1"/>
  <c r="H51" i="1"/>
  <c r="H52" i="1" l="1"/>
  <c r="D52" i="1"/>
  <c r="B52" i="1" s="1"/>
  <c r="E53" i="1"/>
  <c r="H53" i="1" l="1"/>
  <c r="D53" i="1"/>
  <c r="B53" i="1" s="1"/>
  <c r="E54" i="1"/>
  <c r="E55" i="1" l="1"/>
  <c r="D54" i="1"/>
  <c r="B54" i="1" s="1"/>
  <c r="H54" i="1"/>
  <c r="D55" i="1" l="1"/>
  <c r="B55" i="1" s="1"/>
  <c r="H55" i="1"/>
  <c r="E56" i="1"/>
  <c r="H56" i="1" l="1"/>
  <c r="D56" i="1"/>
  <c r="B56" i="1" s="1"/>
  <c r="E57" i="1"/>
  <c r="E58" i="1" l="1"/>
  <c r="H57" i="1"/>
  <c r="D57" i="1"/>
  <c r="B57" i="1" s="1"/>
  <c r="E59" i="1" l="1"/>
  <c r="H58" i="1"/>
  <c r="D58" i="1"/>
  <c r="B58" i="1" s="1"/>
  <c r="D59" i="1" l="1"/>
  <c r="B59" i="1" s="1"/>
  <c r="E60" i="1"/>
  <c r="H59" i="1"/>
  <c r="H60" i="1" l="1"/>
  <c r="D60" i="1"/>
  <c r="B60" i="1" s="1"/>
  <c r="E61" i="1"/>
  <c r="H61" i="1" l="1"/>
  <c r="D61" i="1"/>
  <c r="B61" i="1" s="1"/>
  <c r="E62" i="1"/>
  <c r="E63" i="1" l="1"/>
  <c r="D62" i="1"/>
  <c r="B62" i="1" s="1"/>
  <c r="H62" i="1"/>
  <c r="D63" i="1" l="1"/>
  <c r="B63" i="1" s="1"/>
  <c r="H63" i="1"/>
  <c r="E64" i="1"/>
  <c r="H64" i="1" l="1"/>
  <c r="D64" i="1"/>
  <c r="B64" i="1" s="1"/>
  <c r="E65" i="1"/>
  <c r="E66" i="1" l="1"/>
  <c r="H65" i="1"/>
  <c r="D65" i="1"/>
  <c r="B65" i="1" s="1"/>
  <c r="E67" i="1" l="1"/>
  <c r="H66" i="1"/>
  <c r="D66" i="1"/>
  <c r="B66" i="1" s="1"/>
  <c r="D67" i="1" l="1"/>
  <c r="B67" i="1" s="1"/>
  <c r="E68" i="1"/>
  <c r="H67" i="1"/>
  <c r="H68" i="1" l="1"/>
  <c r="D68" i="1"/>
  <c r="B68" i="1" s="1"/>
  <c r="E69" i="1"/>
  <c r="E70" i="1" l="1"/>
  <c r="H69" i="1"/>
  <c r="D69" i="1"/>
  <c r="B69" i="1" s="1"/>
  <c r="E71" i="1" l="1"/>
  <c r="D70" i="1"/>
  <c r="B70" i="1" s="1"/>
  <c r="H70" i="1"/>
  <c r="D71" i="1" l="1"/>
  <c r="B71" i="1" s="1"/>
  <c r="E72" i="1"/>
  <c r="H71" i="1"/>
  <c r="H72" i="1" l="1"/>
  <c r="D72" i="1"/>
  <c r="B72" i="1" s="1"/>
  <c r="E73" i="1"/>
  <c r="D73" i="1" l="1"/>
  <c r="B73" i="1" s="1"/>
  <c r="E74" i="1"/>
  <c r="H73" i="1"/>
  <c r="E75" i="1" l="1"/>
  <c r="H74" i="1"/>
  <c r="D74" i="1"/>
  <c r="B74" i="1" s="1"/>
  <c r="D75" i="1" l="1"/>
  <c r="B75" i="1" s="1"/>
  <c r="E76" i="1"/>
  <c r="H75" i="1"/>
  <c r="H76" i="1" l="1"/>
  <c r="D76" i="1"/>
  <c r="B76" i="1" s="1"/>
  <c r="E77" i="1"/>
  <c r="H77" i="1" l="1"/>
  <c r="D77" i="1"/>
  <c r="B77" i="1" s="1"/>
  <c r="E78" i="1"/>
  <c r="E79" i="1" l="1"/>
  <c r="D78" i="1"/>
  <c r="B78" i="1" s="1"/>
  <c r="H78" i="1"/>
  <c r="E80" i="1" l="1"/>
  <c r="H79" i="1"/>
  <c r="D79" i="1"/>
  <c r="B79" i="1" s="1"/>
  <c r="H80" i="1" l="1"/>
  <c r="E81" i="1"/>
  <c r="D80" i="1"/>
  <c r="B80" i="1" s="1"/>
  <c r="H81" i="1" l="1"/>
  <c r="E82" i="1"/>
  <c r="D81" i="1"/>
  <c r="B81" i="1" s="1"/>
  <c r="E83" i="1" l="1"/>
  <c r="H82" i="1"/>
  <c r="D82" i="1"/>
  <c r="B82" i="1" s="1"/>
  <c r="E84" i="1" l="1"/>
  <c r="D83" i="1"/>
  <c r="B83" i="1" s="1"/>
  <c r="H83" i="1"/>
  <c r="E85" i="1" l="1"/>
  <c r="D84" i="1"/>
  <c r="B84" i="1" s="1"/>
  <c r="H84" i="1"/>
  <c r="H85" i="1" l="1"/>
  <c r="E86" i="1"/>
  <c r="D85" i="1"/>
  <c r="B85" i="1" s="1"/>
  <c r="E87" i="1" l="1"/>
  <c r="H86" i="1"/>
  <c r="D86" i="1"/>
  <c r="B86" i="1" s="1"/>
  <c r="E88" i="1" l="1"/>
  <c r="D87" i="1"/>
  <c r="B87" i="1" s="1"/>
  <c r="H87" i="1"/>
  <c r="H88" i="1" l="1"/>
  <c r="E89" i="1"/>
  <c r="D88" i="1"/>
  <c r="B88" i="1" s="1"/>
  <c r="H89" i="1" l="1"/>
  <c r="E90" i="1"/>
  <c r="D89" i="1"/>
  <c r="B89" i="1" s="1"/>
  <c r="D90" i="1" l="1"/>
  <c r="B90" i="1" s="1"/>
  <c r="E91" i="1"/>
  <c r="H90" i="1"/>
  <c r="E92" i="1" l="1"/>
  <c r="H91" i="1"/>
  <c r="D91" i="1"/>
  <c r="B91" i="1" s="1"/>
  <c r="H92" i="1" l="1"/>
  <c r="E93" i="1"/>
  <c r="D92" i="1"/>
  <c r="B92" i="1" s="1"/>
  <c r="H93" i="1" l="1"/>
  <c r="D93" i="1"/>
  <c r="B93" i="1" s="1"/>
  <c r="E94" i="1"/>
  <c r="H94" i="1" l="1"/>
  <c r="D94" i="1"/>
  <c r="B94" i="1" s="1"/>
  <c r="E95" i="1"/>
  <c r="E96" i="1" l="1"/>
  <c r="H95" i="1"/>
  <c r="D95" i="1"/>
  <c r="B95" i="1" s="1"/>
  <c r="D96" i="1" l="1"/>
  <c r="B96" i="1" s="1"/>
  <c r="H96" i="1"/>
  <c r="E97" i="1"/>
  <c r="H97" i="1" l="1"/>
  <c r="D97" i="1"/>
  <c r="B97" i="1" s="1"/>
  <c r="E98" i="1"/>
  <c r="E99" i="1" l="1"/>
  <c r="H98" i="1"/>
  <c r="D98" i="1"/>
  <c r="B98" i="1" s="1"/>
  <c r="E100" i="1" l="1"/>
  <c r="D99" i="1"/>
  <c r="B99" i="1" s="1"/>
  <c r="H99" i="1"/>
  <c r="H100" i="1" l="1"/>
  <c r="D100" i="1"/>
  <c r="B100" i="1" s="1"/>
  <c r="E101" i="1"/>
  <c r="H101" i="1" l="1"/>
  <c r="E102" i="1"/>
  <c r="D101" i="1"/>
  <c r="B101" i="1" s="1"/>
  <c r="D102" i="1" l="1"/>
  <c r="B102" i="1" s="1"/>
  <c r="E103" i="1"/>
  <c r="H102" i="1"/>
  <c r="E104" i="1" l="1"/>
  <c r="H103" i="1"/>
  <c r="D103" i="1"/>
  <c r="B103" i="1" s="1"/>
  <c r="E105" i="1" l="1"/>
  <c r="H104" i="1"/>
  <c r="D104" i="1"/>
  <c r="B104" i="1" s="1"/>
  <c r="H105" i="1" l="1"/>
  <c r="D105" i="1"/>
  <c r="B105" i="1" s="1"/>
  <c r="E106" i="1"/>
  <c r="H106" i="1" l="1"/>
  <c r="D106" i="1"/>
  <c r="B106" i="1" s="1"/>
  <c r="E107" i="1"/>
  <c r="E108" i="1" l="1"/>
  <c r="H107" i="1"/>
  <c r="D107" i="1"/>
  <c r="B107" i="1" s="1"/>
  <c r="D108" i="1" l="1"/>
  <c r="B108" i="1" s="1"/>
  <c r="E109" i="1"/>
  <c r="H108" i="1"/>
  <c r="H109" i="1" l="1"/>
  <c r="D109" i="1"/>
  <c r="B109" i="1" s="1"/>
  <c r="E110" i="1"/>
  <c r="E111" i="1" l="1"/>
  <c r="H110" i="1"/>
  <c r="D110" i="1"/>
  <c r="B110" i="1" s="1"/>
  <c r="E112" i="1" l="1"/>
  <c r="H111" i="1"/>
  <c r="D111" i="1"/>
  <c r="B111" i="1" s="1"/>
  <c r="D112" i="1" l="1"/>
  <c r="B112" i="1" s="1"/>
  <c r="E113" i="1"/>
  <c r="H112" i="1"/>
  <c r="H113" i="1" l="1"/>
  <c r="E114" i="1"/>
  <c r="D113" i="1"/>
  <c r="B113" i="1" s="1"/>
  <c r="H114" i="1" l="1"/>
  <c r="D114" i="1"/>
  <c r="B114" i="1" s="1"/>
  <c r="E115" i="1"/>
  <c r="E116" i="1" l="1"/>
  <c r="H115" i="1"/>
  <c r="D115" i="1"/>
  <c r="B115" i="1" s="1"/>
  <c r="H116" i="1" l="1"/>
  <c r="E117" i="1"/>
  <c r="D116" i="1"/>
  <c r="B116" i="1" s="1"/>
  <c r="H117" i="1" l="1"/>
  <c r="E118" i="1"/>
  <c r="D117" i="1"/>
  <c r="B117" i="1" s="1"/>
  <c r="D118" i="1" l="1"/>
  <c r="B118" i="1" s="1"/>
  <c r="E119" i="1"/>
  <c r="H118" i="1"/>
  <c r="E120" i="1" l="1"/>
  <c r="H119" i="1"/>
  <c r="D119" i="1"/>
  <c r="B119" i="1" s="1"/>
  <c r="D120" i="1" l="1"/>
  <c r="B120" i="1" s="1"/>
  <c r="E121" i="1"/>
  <c r="H120" i="1"/>
  <c r="H121" i="1" l="1"/>
  <c r="E122" i="1"/>
  <c r="D121" i="1"/>
  <c r="B121" i="1" s="1"/>
  <c r="E123" i="1" l="1"/>
  <c r="D122" i="1"/>
  <c r="B122" i="1" s="1"/>
  <c r="H122" i="1"/>
  <c r="E124" i="1" l="1"/>
  <c r="D123" i="1"/>
  <c r="B123" i="1" s="1"/>
  <c r="H123" i="1"/>
  <c r="D124" i="1" l="1"/>
  <c r="B124" i="1" s="1"/>
  <c r="E125" i="1"/>
  <c r="H124" i="1"/>
  <c r="H125" i="1" l="1"/>
  <c r="D125" i="1"/>
  <c r="B125" i="1" s="1"/>
  <c r="E126" i="1"/>
  <c r="H126" i="1" l="1"/>
  <c r="D126" i="1"/>
  <c r="B126" i="1" s="1"/>
  <c r="E127" i="1"/>
  <c r="E128" i="1" l="1"/>
  <c r="H127" i="1"/>
  <c r="D127" i="1"/>
  <c r="B127" i="1" s="1"/>
  <c r="H128" i="1" l="1"/>
  <c r="D128" i="1"/>
  <c r="B128" i="1" s="1"/>
  <c r="E129" i="1"/>
  <c r="H129" i="1" l="1"/>
  <c r="D129" i="1"/>
  <c r="B129" i="1" s="1"/>
  <c r="E130" i="1"/>
  <c r="E131" i="1" l="1"/>
  <c r="H130" i="1"/>
  <c r="D130" i="1"/>
  <c r="B130" i="1" s="1"/>
  <c r="E132" i="1" l="1"/>
  <c r="D131" i="1"/>
  <c r="B131" i="1" s="1"/>
  <c r="H131" i="1"/>
  <c r="D132" i="1" l="1"/>
  <c r="B132" i="1" s="1"/>
  <c r="E133" i="1"/>
  <c r="H132" i="1"/>
  <c r="H133" i="1" l="1"/>
  <c r="D133" i="1"/>
  <c r="B133" i="1" s="1"/>
  <c r="E134" i="1"/>
  <c r="H134" i="1" l="1"/>
  <c r="D134" i="1"/>
  <c r="B134" i="1" s="1"/>
  <c r="E135" i="1"/>
  <c r="E136" i="1" l="1"/>
  <c r="H135" i="1"/>
  <c r="D135" i="1"/>
  <c r="B135" i="1" s="1"/>
  <c r="H136" i="1" l="1"/>
  <c r="E137" i="1"/>
  <c r="D136" i="1"/>
  <c r="B136" i="1" s="1"/>
  <c r="H137" i="1" l="1"/>
  <c r="D137" i="1"/>
  <c r="B137" i="1" s="1"/>
  <c r="E138" i="1"/>
  <c r="E139" i="1" l="1"/>
  <c r="D138" i="1"/>
  <c r="B138" i="1" s="1"/>
  <c r="H138" i="1"/>
  <c r="E140" i="1" l="1"/>
  <c r="H139" i="1"/>
  <c r="D139" i="1"/>
  <c r="B139" i="1" s="1"/>
  <c r="D140" i="1" l="1"/>
  <c r="B140" i="1" s="1"/>
  <c r="E141" i="1"/>
  <c r="H140" i="1"/>
  <c r="E142" i="1" l="1"/>
  <c r="H141" i="1"/>
  <c r="D141" i="1"/>
  <c r="B141" i="1" s="1"/>
  <c r="H142" i="1" l="1"/>
  <c r="D142" i="1"/>
  <c r="B142" i="1" s="1"/>
  <c r="E143" i="1"/>
  <c r="H143" i="1" l="1"/>
  <c r="E144" i="1"/>
  <c r="D143" i="1"/>
  <c r="B143" i="1" s="1"/>
  <c r="D144" i="1" l="1"/>
  <c r="B144" i="1" s="1"/>
  <c r="E145" i="1"/>
  <c r="H144" i="1"/>
  <c r="E146" i="1" l="1"/>
  <c r="H145" i="1"/>
  <c r="D145" i="1"/>
  <c r="B145" i="1" s="1"/>
  <c r="H146" i="1" l="1"/>
  <c r="E147" i="1"/>
  <c r="D146" i="1"/>
  <c r="B146" i="1" s="1"/>
  <c r="H147" i="1" l="1"/>
  <c r="E148" i="1"/>
  <c r="D147" i="1"/>
  <c r="B147" i="1" s="1"/>
  <c r="D148" i="1" l="1"/>
  <c r="B148" i="1" s="1"/>
  <c r="E149" i="1"/>
  <c r="H148" i="1"/>
  <c r="E150" i="1" l="1"/>
  <c r="H149" i="1"/>
  <c r="D149" i="1"/>
  <c r="B149" i="1" s="1"/>
  <c r="H150" i="1" l="1"/>
  <c r="D150" i="1"/>
  <c r="B150" i="1" s="1"/>
  <c r="E151" i="1"/>
  <c r="H151" i="1" l="1"/>
  <c r="E152" i="1"/>
  <c r="D151" i="1"/>
  <c r="B151" i="1" s="1"/>
  <c r="D152" i="1" l="1"/>
  <c r="B152" i="1" s="1"/>
  <c r="E153" i="1"/>
  <c r="H152" i="1"/>
  <c r="E154" i="1" l="1"/>
  <c r="H153" i="1"/>
  <c r="D153" i="1"/>
  <c r="B153" i="1" s="1"/>
  <c r="H154" i="1" l="1"/>
  <c r="E155" i="1"/>
  <c r="D154" i="1"/>
  <c r="B154" i="1" s="1"/>
  <c r="H155" i="1" l="1"/>
  <c r="E156" i="1"/>
  <c r="D155" i="1"/>
  <c r="B155" i="1" s="1"/>
  <c r="D156" i="1" l="1"/>
  <c r="B156" i="1" s="1"/>
  <c r="E157" i="1"/>
  <c r="H156" i="1"/>
  <c r="E158" i="1" l="1"/>
  <c r="H157" i="1"/>
  <c r="D157" i="1"/>
  <c r="B157" i="1" s="1"/>
  <c r="H158" i="1" l="1"/>
  <c r="D158" i="1"/>
  <c r="B158" i="1" s="1"/>
  <c r="E159" i="1"/>
  <c r="H159" i="1" l="1"/>
  <c r="E160" i="1"/>
  <c r="D159" i="1"/>
  <c r="B159" i="1" s="1"/>
  <c r="D160" i="1" l="1"/>
  <c r="B160" i="1" s="1"/>
  <c r="E161" i="1"/>
  <c r="H160" i="1"/>
  <c r="E162" i="1" l="1"/>
  <c r="H161" i="1"/>
  <c r="D161" i="1"/>
  <c r="B161" i="1" s="1"/>
  <c r="H162" i="1" l="1"/>
  <c r="E163" i="1"/>
  <c r="D162" i="1"/>
  <c r="B162" i="1" s="1"/>
  <c r="H163" i="1" l="1"/>
  <c r="E164" i="1"/>
  <c r="D163" i="1"/>
  <c r="B163" i="1" s="1"/>
  <c r="D164" i="1" l="1"/>
  <c r="B164" i="1" s="1"/>
  <c r="E165" i="1"/>
  <c r="H164" i="1"/>
  <c r="E166" i="1" l="1"/>
  <c r="H165" i="1"/>
  <c r="D165" i="1"/>
  <c r="B165" i="1" s="1"/>
  <c r="H166" i="1" l="1"/>
  <c r="D166" i="1"/>
  <c r="B166" i="1" s="1"/>
  <c r="E167" i="1"/>
  <c r="H167" i="1" l="1"/>
  <c r="E168" i="1"/>
  <c r="D167" i="1"/>
  <c r="B167" i="1" s="1"/>
  <c r="D168" i="1" l="1"/>
  <c r="B168" i="1" s="1"/>
  <c r="E169" i="1"/>
  <c r="H168" i="1"/>
  <c r="E170" i="1" l="1"/>
  <c r="H169" i="1"/>
  <c r="D169" i="1"/>
  <c r="B169" i="1" s="1"/>
  <c r="H170" i="1" l="1"/>
  <c r="E171" i="1"/>
  <c r="D170" i="1"/>
  <c r="B170" i="1" s="1"/>
  <c r="H171" i="1" l="1"/>
  <c r="E172" i="1"/>
  <c r="D171" i="1"/>
  <c r="B171" i="1" s="1"/>
  <c r="D172" i="1" l="1"/>
  <c r="B172" i="1" s="1"/>
  <c r="E173" i="1"/>
  <c r="H172" i="1"/>
  <c r="E174" i="1" l="1"/>
  <c r="H173" i="1"/>
  <c r="D173" i="1"/>
  <c r="B173" i="1" s="1"/>
  <c r="H174" i="1" l="1"/>
  <c r="D174" i="1"/>
  <c r="B174" i="1" s="1"/>
  <c r="E175" i="1"/>
  <c r="H175" i="1" l="1"/>
  <c r="E176" i="1"/>
  <c r="D175" i="1"/>
  <c r="B175" i="1" s="1"/>
  <c r="D176" i="1" l="1"/>
  <c r="B176" i="1" s="1"/>
  <c r="E177" i="1"/>
  <c r="H176" i="1"/>
  <c r="E178" i="1" l="1"/>
  <c r="H177" i="1"/>
  <c r="D177" i="1"/>
  <c r="B177" i="1" s="1"/>
  <c r="H178" i="1" l="1"/>
  <c r="E179" i="1"/>
  <c r="D178" i="1"/>
  <c r="B178" i="1" s="1"/>
  <c r="H179" i="1" l="1"/>
  <c r="E180" i="1"/>
  <c r="D179" i="1"/>
  <c r="B179" i="1" s="1"/>
  <c r="D180" i="1" l="1"/>
  <c r="B180" i="1" s="1"/>
  <c r="E181" i="1"/>
  <c r="H180" i="1"/>
  <c r="E182" i="1" l="1"/>
  <c r="H181" i="1"/>
  <c r="D181" i="1"/>
  <c r="B181" i="1" s="1"/>
  <c r="H182" i="1" l="1"/>
  <c r="D182" i="1"/>
  <c r="B182" i="1" s="1"/>
  <c r="E183" i="1"/>
  <c r="H183" i="1" l="1"/>
  <c r="E184" i="1"/>
  <c r="D183" i="1"/>
  <c r="B183" i="1" s="1"/>
  <c r="D184" i="1" l="1"/>
  <c r="B184" i="1" s="1"/>
  <c r="E185" i="1"/>
  <c r="H184" i="1"/>
  <c r="E186" i="1" l="1"/>
  <c r="H185" i="1"/>
  <c r="D185" i="1"/>
  <c r="B185" i="1" s="1"/>
  <c r="H186" i="1" l="1"/>
  <c r="E187" i="1"/>
  <c r="D186" i="1"/>
  <c r="B186" i="1" s="1"/>
  <c r="H187" i="1" l="1"/>
  <c r="E188" i="1"/>
  <c r="D187" i="1"/>
  <c r="B187" i="1" s="1"/>
  <c r="D188" i="1" l="1"/>
  <c r="B188" i="1" s="1"/>
  <c r="E189" i="1"/>
  <c r="H188" i="1"/>
  <c r="E190" i="1" l="1"/>
  <c r="H189" i="1"/>
  <c r="D189" i="1"/>
  <c r="B189" i="1" s="1"/>
  <c r="H190" i="1" l="1"/>
  <c r="D190" i="1"/>
  <c r="B190" i="1" s="1"/>
  <c r="E191" i="1"/>
  <c r="H191" i="1" l="1"/>
  <c r="E192" i="1"/>
  <c r="D191" i="1"/>
  <c r="B191" i="1" s="1"/>
  <c r="D192" i="1" l="1"/>
  <c r="B192" i="1" s="1"/>
  <c r="E193" i="1"/>
  <c r="H192" i="1"/>
  <c r="E194" i="1" l="1"/>
  <c r="H193" i="1"/>
  <c r="D193" i="1"/>
  <c r="B193" i="1" s="1"/>
  <c r="H194" i="1" l="1"/>
  <c r="E195" i="1"/>
  <c r="D194" i="1"/>
  <c r="B194" i="1" s="1"/>
  <c r="H195" i="1" l="1"/>
  <c r="E196" i="1"/>
  <c r="D195" i="1"/>
  <c r="B195" i="1" s="1"/>
  <c r="E197" i="1" l="1"/>
  <c r="D196" i="1"/>
  <c r="B196" i="1" s="1"/>
  <c r="H196" i="1"/>
  <c r="E198" i="1" l="1"/>
  <c r="H197" i="1"/>
  <c r="D197" i="1"/>
  <c r="B197" i="1" s="1"/>
  <c r="D198" i="1" l="1"/>
  <c r="B198" i="1" s="1"/>
  <c r="E199" i="1"/>
  <c r="H198" i="1"/>
  <c r="H199" i="1" l="1"/>
  <c r="D199" i="1"/>
  <c r="B199" i="1" s="1"/>
  <c r="E200" i="1"/>
  <c r="D200" i="1" l="1"/>
  <c r="B200" i="1" s="1"/>
  <c r="E201" i="1"/>
  <c r="H200" i="1"/>
  <c r="E202" i="1" l="1"/>
  <c r="H201" i="1"/>
  <c r="D201" i="1"/>
  <c r="B201" i="1" s="1"/>
  <c r="H202" i="1" l="1"/>
  <c r="E203" i="1"/>
  <c r="D202" i="1"/>
  <c r="B202" i="1" s="1"/>
  <c r="H203" i="1" l="1"/>
  <c r="D203" i="1"/>
  <c r="B203" i="1" s="1"/>
  <c r="E204" i="1"/>
  <c r="D204" i="1" l="1"/>
  <c r="B204" i="1" s="1"/>
  <c r="E205" i="1"/>
  <c r="H204" i="1"/>
  <c r="E206" i="1" l="1"/>
  <c r="D205" i="1"/>
  <c r="B205" i="1" s="1"/>
  <c r="H205" i="1"/>
  <c r="D206" i="1" l="1"/>
  <c r="B206" i="1" s="1"/>
  <c r="H206" i="1"/>
  <c r="E207" i="1"/>
  <c r="H207" i="1" l="1"/>
  <c r="D207" i="1"/>
  <c r="B207" i="1" s="1"/>
  <c r="E208" i="1"/>
  <c r="D208" i="1" l="1"/>
  <c r="B208" i="1" s="1"/>
  <c r="H208" i="1"/>
  <c r="E209" i="1"/>
  <c r="E210" i="1" l="1"/>
  <c r="H209" i="1"/>
  <c r="D209" i="1"/>
  <c r="B209" i="1" s="1"/>
  <c r="H210" i="1" l="1"/>
  <c r="D210" i="1"/>
  <c r="B210" i="1" s="1"/>
  <c r="E211" i="1"/>
  <c r="H211" i="1" l="1"/>
  <c r="E212" i="1"/>
  <c r="D211" i="1"/>
  <c r="B211" i="1" s="1"/>
  <c r="D212" i="1" l="1"/>
  <c r="B212" i="1" s="1"/>
  <c r="E213" i="1"/>
  <c r="H212" i="1"/>
  <c r="E214" i="1" l="1"/>
  <c r="H213" i="1"/>
  <c r="D213" i="1"/>
  <c r="B213" i="1" s="1"/>
  <c r="D214" i="1" l="1"/>
  <c r="B214" i="1" s="1"/>
  <c r="E215" i="1"/>
  <c r="H214" i="1"/>
  <c r="H215" i="1" l="1"/>
  <c r="D215" i="1"/>
  <c r="B215" i="1" s="1"/>
  <c r="E216" i="1"/>
  <c r="D216" i="1" l="1"/>
  <c r="B216" i="1" s="1"/>
  <c r="E217" i="1"/>
  <c r="H216" i="1"/>
  <c r="E218" i="1" l="1"/>
  <c r="H217" i="1"/>
  <c r="D217" i="1"/>
  <c r="B217" i="1" s="1"/>
  <c r="H218" i="1" l="1"/>
  <c r="E219" i="1"/>
  <c r="D218" i="1"/>
  <c r="B218" i="1" s="1"/>
  <c r="H219" i="1" l="1"/>
  <c r="D219" i="1"/>
  <c r="B219" i="1" s="1"/>
  <c r="E220" i="1"/>
  <c r="D220" i="1" l="1"/>
  <c r="B220" i="1" s="1"/>
  <c r="E221" i="1"/>
  <c r="H220" i="1"/>
  <c r="E222" i="1" l="1"/>
  <c r="D221" i="1"/>
  <c r="B221" i="1" s="1"/>
  <c r="H221" i="1"/>
  <c r="D222" i="1" l="1"/>
  <c r="B222" i="1" s="1"/>
  <c r="H222" i="1"/>
  <c r="E223" i="1"/>
  <c r="H223" i="1" l="1"/>
  <c r="D223" i="1"/>
  <c r="B223" i="1" s="1"/>
  <c r="E224" i="1"/>
  <c r="D224" i="1" l="1"/>
  <c r="B224" i="1" s="1"/>
  <c r="H224" i="1"/>
  <c r="E225" i="1"/>
  <c r="E226" i="1" l="1"/>
  <c r="H225" i="1"/>
  <c r="D225" i="1"/>
  <c r="B225" i="1" s="1"/>
  <c r="H226" i="1" l="1"/>
  <c r="D226" i="1"/>
  <c r="B226" i="1" s="1"/>
  <c r="E227" i="1"/>
  <c r="H227" i="1" l="1"/>
  <c r="E228" i="1"/>
  <c r="D227" i="1"/>
  <c r="B227" i="1" s="1"/>
  <c r="D228" i="1" l="1"/>
  <c r="B228" i="1" s="1"/>
  <c r="E229" i="1"/>
  <c r="H228" i="1"/>
  <c r="E230" i="1" l="1"/>
  <c r="H229" i="1"/>
  <c r="D229" i="1"/>
  <c r="B229" i="1" s="1"/>
  <c r="D230" i="1" l="1"/>
  <c r="B230" i="1" s="1"/>
  <c r="E231" i="1"/>
  <c r="H230" i="1"/>
  <c r="H231" i="1" l="1"/>
  <c r="D231" i="1"/>
  <c r="B231" i="1" s="1"/>
  <c r="E232" i="1"/>
  <c r="D232" i="1" l="1"/>
  <c r="B232" i="1" s="1"/>
  <c r="E233" i="1"/>
  <c r="H232" i="1"/>
  <c r="E234" i="1" l="1"/>
  <c r="H233" i="1"/>
  <c r="D233" i="1"/>
  <c r="B233" i="1" s="1"/>
  <c r="H234" i="1" l="1"/>
  <c r="E235" i="1"/>
  <c r="D234" i="1"/>
  <c r="B234" i="1" s="1"/>
  <c r="D235" i="1" l="1"/>
  <c r="B235" i="1" s="1"/>
  <c r="E236" i="1"/>
  <c r="H235" i="1"/>
  <c r="D236" i="1" l="1"/>
  <c r="B236" i="1" s="1"/>
  <c r="E237" i="1"/>
  <c r="H236" i="1"/>
  <c r="H237" i="1" l="1"/>
  <c r="E238" i="1"/>
  <c r="D237" i="1"/>
  <c r="B237" i="1" s="1"/>
  <c r="H238" i="1" l="1"/>
  <c r="D238" i="1"/>
  <c r="B238" i="1" s="1"/>
  <c r="E239" i="1"/>
  <c r="D239" i="1" l="1"/>
  <c r="B239" i="1" s="1"/>
  <c r="E240" i="1"/>
  <c r="H239" i="1"/>
  <c r="D240" i="1" l="1"/>
  <c r="B240" i="1" s="1"/>
  <c r="E241" i="1"/>
  <c r="H240" i="1"/>
  <c r="H241" i="1" l="1"/>
  <c r="E242" i="1"/>
  <c r="D241" i="1"/>
  <c r="B241" i="1" s="1"/>
  <c r="H242" i="1" l="1"/>
  <c r="E243" i="1"/>
  <c r="D242" i="1"/>
  <c r="B242" i="1" s="1"/>
  <c r="D243" i="1" l="1"/>
  <c r="B243" i="1" s="1"/>
  <c r="E244" i="1"/>
  <c r="H243" i="1"/>
  <c r="D244" i="1" l="1"/>
  <c r="B244" i="1" s="1"/>
  <c r="E245" i="1"/>
  <c r="H244" i="1"/>
  <c r="H245" i="1" l="1"/>
  <c r="E246" i="1"/>
  <c r="D245" i="1"/>
  <c r="B245" i="1" s="1"/>
  <c r="H246" i="1" l="1"/>
  <c r="D246" i="1"/>
  <c r="B246" i="1" s="1"/>
  <c r="E247" i="1"/>
  <c r="D247" i="1" l="1"/>
  <c r="B247" i="1" s="1"/>
  <c r="E248" i="1"/>
  <c r="H247" i="1"/>
  <c r="D248" i="1" l="1"/>
  <c r="B248" i="1" s="1"/>
  <c r="E249" i="1"/>
  <c r="H248" i="1"/>
  <c r="H249" i="1" l="1"/>
  <c r="E250" i="1"/>
  <c r="D249" i="1"/>
  <c r="B249" i="1" s="1"/>
  <c r="H250" i="1" l="1"/>
  <c r="E251" i="1"/>
  <c r="D250" i="1"/>
  <c r="B250" i="1" s="1"/>
  <c r="D251" i="1" l="1"/>
  <c r="B251" i="1" s="1"/>
  <c r="E252" i="1"/>
  <c r="H251" i="1"/>
  <c r="D252" i="1" l="1"/>
  <c r="B252" i="1" s="1"/>
  <c r="E253" i="1"/>
  <c r="H252" i="1"/>
  <c r="H253" i="1" l="1"/>
  <c r="E254" i="1"/>
  <c r="D253" i="1"/>
  <c r="B253" i="1" s="1"/>
  <c r="H254" i="1" l="1"/>
  <c r="D254" i="1"/>
  <c r="B254" i="1" s="1"/>
  <c r="E255" i="1"/>
  <c r="D255" i="1" l="1"/>
  <c r="B255" i="1" s="1"/>
  <c r="E256" i="1"/>
  <c r="H255" i="1"/>
  <c r="D256" i="1" l="1"/>
  <c r="B256" i="1" s="1"/>
  <c r="E257" i="1"/>
  <c r="H256" i="1"/>
  <c r="H257" i="1" l="1"/>
  <c r="E258" i="1"/>
  <c r="D257" i="1"/>
  <c r="B257" i="1" s="1"/>
  <c r="H258" i="1" l="1"/>
  <c r="E259" i="1"/>
  <c r="D258" i="1"/>
  <c r="B258" i="1" s="1"/>
  <c r="D259" i="1" l="1"/>
  <c r="B259" i="1" s="1"/>
  <c r="E260" i="1"/>
  <c r="H259" i="1"/>
  <c r="D260" i="1" l="1"/>
  <c r="B260" i="1" s="1"/>
  <c r="E261" i="1"/>
  <c r="H260" i="1"/>
  <c r="H261" i="1" l="1"/>
  <c r="E262" i="1"/>
  <c r="D261" i="1"/>
  <c r="B261" i="1" s="1"/>
  <c r="H262" i="1" l="1"/>
  <c r="D262" i="1"/>
  <c r="B262" i="1" s="1"/>
  <c r="E263" i="1"/>
  <c r="D263" i="1" l="1"/>
  <c r="B263" i="1" s="1"/>
  <c r="E264" i="1"/>
  <c r="H263" i="1"/>
  <c r="D264" i="1" l="1"/>
  <c r="B264" i="1" s="1"/>
  <c r="E265" i="1"/>
  <c r="H264" i="1"/>
  <c r="H265" i="1" l="1"/>
  <c r="E266" i="1"/>
  <c r="D265" i="1"/>
  <c r="B265" i="1" s="1"/>
  <c r="E267" i="1" l="1"/>
  <c r="H266" i="1"/>
  <c r="D266" i="1"/>
  <c r="B266" i="1" s="1"/>
  <c r="D267" i="1" l="1"/>
  <c r="B267" i="1" s="1"/>
  <c r="H267" i="1"/>
  <c r="E268" i="1"/>
  <c r="H268" i="1" l="1"/>
  <c r="D268" i="1"/>
  <c r="B268" i="1" s="1"/>
  <c r="E269" i="1"/>
  <c r="H269" i="1" l="1"/>
  <c r="D269" i="1"/>
  <c r="B269" i="1" s="1"/>
  <c r="E270" i="1"/>
  <c r="E271" i="1" l="1"/>
  <c r="H270" i="1"/>
  <c r="D270" i="1"/>
  <c r="B270" i="1" s="1"/>
  <c r="D271" i="1" l="1"/>
  <c r="B271" i="1" s="1"/>
  <c r="E272" i="1"/>
  <c r="H271" i="1"/>
  <c r="H272" i="1" l="1"/>
  <c r="D272" i="1"/>
  <c r="B272" i="1" s="1"/>
  <c r="E273" i="1"/>
  <c r="H273" i="1" l="1"/>
  <c r="E274" i="1"/>
  <c r="D273" i="1"/>
  <c r="B273" i="1" s="1"/>
  <c r="D274" i="1" l="1"/>
  <c r="B274" i="1" s="1"/>
  <c r="E275" i="1"/>
  <c r="H274" i="1"/>
  <c r="D275" i="1" l="1"/>
  <c r="B275" i="1" s="1"/>
  <c r="E276" i="1"/>
  <c r="H275" i="1"/>
  <c r="H276" i="1" l="1"/>
  <c r="D276" i="1"/>
  <c r="B276" i="1" s="1"/>
  <c r="E277" i="1"/>
  <c r="H277" i="1" l="1"/>
  <c r="D277" i="1"/>
  <c r="B277" i="1" s="1"/>
  <c r="E278" i="1"/>
  <c r="D278" i="1" l="1"/>
  <c r="B278" i="1" s="1"/>
  <c r="E279" i="1"/>
  <c r="H278" i="1"/>
  <c r="D279" i="1" l="1"/>
  <c r="B279" i="1" s="1"/>
  <c r="E280" i="1"/>
  <c r="H279" i="1"/>
  <c r="H280" i="1" l="1"/>
  <c r="D280" i="1"/>
  <c r="B280" i="1" s="1"/>
  <c r="E281" i="1"/>
  <c r="H281" i="1" l="1"/>
  <c r="E282" i="1"/>
  <c r="D281" i="1"/>
  <c r="B281" i="1" s="1"/>
  <c r="D282" i="1" l="1"/>
  <c r="B282" i="1" s="1"/>
  <c r="E283" i="1"/>
  <c r="H282" i="1"/>
  <c r="D283" i="1" l="1"/>
  <c r="B283" i="1" s="1"/>
  <c r="E284" i="1"/>
  <c r="H283" i="1"/>
  <c r="H284" i="1" l="1"/>
  <c r="D284" i="1"/>
  <c r="B284" i="1" s="1"/>
  <c r="E285" i="1"/>
  <c r="H285" i="1" l="1"/>
  <c r="E286" i="1"/>
  <c r="D285" i="1"/>
  <c r="B285" i="1" s="1"/>
  <c r="D286" i="1" l="1"/>
  <c r="B286" i="1" s="1"/>
  <c r="E287" i="1"/>
  <c r="H286" i="1"/>
  <c r="D287" i="1" l="1"/>
  <c r="B287" i="1" s="1"/>
  <c r="E288" i="1"/>
  <c r="H287" i="1"/>
  <c r="H288" i="1" l="1"/>
  <c r="D288" i="1"/>
  <c r="B288" i="1" s="1"/>
  <c r="E289" i="1"/>
  <c r="H289" i="1" l="1"/>
  <c r="E290" i="1"/>
  <c r="D289" i="1"/>
  <c r="B289" i="1" s="1"/>
  <c r="D290" i="1" l="1"/>
  <c r="B290" i="1" s="1"/>
  <c r="E291" i="1"/>
  <c r="H290" i="1"/>
  <c r="D291" i="1" l="1"/>
  <c r="B291" i="1" s="1"/>
  <c r="E292" i="1"/>
  <c r="H291" i="1"/>
  <c r="H292" i="1" l="1"/>
  <c r="D292" i="1"/>
  <c r="B292" i="1" s="1"/>
  <c r="E293" i="1"/>
  <c r="H293" i="1" l="1"/>
  <c r="E294" i="1"/>
  <c r="D293" i="1"/>
  <c r="B293" i="1" s="1"/>
  <c r="D294" i="1" l="1"/>
  <c r="B294" i="1" s="1"/>
  <c r="E295" i="1"/>
  <c r="H294" i="1"/>
  <c r="D295" i="1" l="1"/>
  <c r="B295" i="1" s="1"/>
  <c r="E296" i="1"/>
  <c r="H295" i="1"/>
  <c r="H296" i="1" l="1"/>
  <c r="D296" i="1"/>
  <c r="B296" i="1" s="1"/>
  <c r="E297" i="1"/>
  <c r="H297" i="1" l="1"/>
  <c r="D297" i="1"/>
  <c r="B297" i="1" s="1"/>
  <c r="E298" i="1"/>
  <c r="D298" i="1" l="1"/>
  <c r="B298" i="1" s="1"/>
  <c r="E299" i="1"/>
  <c r="H298" i="1"/>
  <c r="D299" i="1" l="1"/>
  <c r="B299" i="1" s="1"/>
  <c r="E300" i="1"/>
  <c r="H299" i="1"/>
  <c r="H300" i="1" l="1"/>
  <c r="D300" i="1"/>
  <c r="B300" i="1" s="1"/>
  <c r="E301" i="1"/>
  <c r="H301" i="1" l="1"/>
  <c r="D301" i="1"/>
  <c r="B301" i="1" s="1"/>
  <c r="E302" i="1"/>
  <c r="D302" i="1" l="1"/>
  <c r="B302" i="1" s="1"/>
  <c r="E303" i="1"/>
  <c r="H302" i="1"/>
  <c r="D303" i="1" l="1"/>
  <c r="B303" i="1" s="1"/>
  <c r="E304" i="1"/>
  <c r="H303" i="1"/>
  <c r="H304" i="1" l="1"/>
  <c r="D304" i="1"/>
  <c r="B304" i="1" s="1"/>
  <c r="E305" i="1"/>
  <c r="H305" i="1" l="1"/>
  <c r="E306" i="1"/>
  <c r="D305" i="1"/>
  <c r="B305" i="1" s="1"/>
  <c r="D306" i="1" l="1"/>
  <c r="B306" i="1" s="1"/>
  <c r="E307" i="1"/>
  <c r="H306" i="1"/>
  <c r="D307" i="1" l="1"/>
  <c r="B307" i="1" s="1"/>
  <c r="E308" i="1"/>
  <c r="H307" i="1"/>
  <c r="H308" i="1" l="1"/>
  <c r="D308" i="1"/>
  <c r="B308" i="1" s="1"/>
  <c r="E309" i="1"/>
  <c r="H309" i="1" l="1"/>
  <c r="D309" i="1"/>
  <c r="B309" i="1" s="1"/>
  <c r="E310" i="1"/>
  <c r="D310" i="1" l="1"/>
  <c r="B310" i="1" s="1"/>
  <c r="E311" i="1"/>
  <c r="H310" i="1"/>
  <c r="D311" i="1" l="1"/>
  <c r="B311" i="1" s="1"/>
  <c r="E312" i="1"/>
  <c r="H311" i="1"/>
  <c r="H312" i="1" l="1"/>
  <c r="D312" i="1"/>
  <c r="B312" i="1" s="1"/>
  <c r="E313" i="1"/>
  <c r="H313" i="1" l="1"/>
  <c r="E314" i="1"/>
  <c r="D313" i="1"/>
  <c r="B313" i="1" s="1"/>
  <c r="D314" i="1" l="1"/>
  <c r="B314" i="1" s="1"/>
  <c r="E315" i="1"/>
  <c r="H314" i="1"/>
  <c r="D315" i="1" l="1"/>
  <c r="B315" i="1" s="1"/>
  <c r="E316" i="1"/>
  <c r="H315" i="1"/>
  <c r="H316" i="1" l="1"/>
  <c r="D316" i="1"/>
  <c r="B316" i="1" s="1"/>
  <c r="E317" i="1"/>
  <c r="H317" i="1" l="1"/>
  <c r="E318" i="1"/>
  <c r="D317" i="1"/>
  <c r="B317" i="1" s="1"/>
  <c r="D318" i="1" l="1"/>
  <c r="B318" i="1" s="1"/>
  <c r="E319" i="1"/>
  <c r="H318" i="1"/>
  <c r="D319" i="1" l="1"/>
  <c r="B319" i="1" s="1"/>
  <c r="E320" i="1"/>
  <c r="H319" i="1"/>
  <c r="H320" i="1" l="1"/>
  <c r="D320" i="1"/>
  <c r="B320" i="1" s="1"/>
  <c r="E321" i="1"/>
  <c r="H321" i="1" l="1"/>
  <c r="E322" i="1"/>
  <c r="D321" i="1"/>
  <c r="B321" i="1" s="1"/>
  <c r="D322" i="1" l="1"/>
  <c r="B322" i="1" s="1"/>
  <c r="E323" i="1"/>
  <c r="H322" i="1"/>
  <c r="D323" i="1" l="1"/>
  <c r="B323" i="1" s="1"/>
  <c r="E324" i="1"/>
  <c r="H323" i="1"/>
  <c r="H324" i="1" l="1"/>
  <c r="D324" i="1"/>
  <c r="B324" i="1" s="1"/>
  <c r="E325" i="1"/>
  <c r="H325" i="1" l="1"/>
  <c r="E326" i="1"/>
  <c r="D325" i="1"/>
  <c r="B325" i="1" s="1"/>
  <c r="D326" i="1" l="1"/>
  <c r="B326" i="1" s="1"/>
  <c r="E327" i="1"/>
  <c r="H326" i="1"/>
  <c r="D327" i="1" l="1"/>
  <c r="B327" i="1" s="1"/>
  <c r="E328" i="1"/>
  <c r="H327" i="1"/>
  <c r="H328" i="1" l="1"/>
  <c r="D328" i="1"/>
  <c r="B328" i="1" s="1"/>
  <c r="E329" i="1"/>
  <c r="H329" i="1" l="1"/>
  <c r="D329" i="1"/>
  <c r="B329" i="1" s="1"/>
  <c r="E330" i="1"/>
  <c r="D330" i="1" l="1"/>
  <c r="B330" i="1" s="1"/>
  <c r="E331" i="1"/>
  <c r="H330" i="1"/>
  <c r="D331" i="1" l="1"/>
  <c r="B331" i="1" s="1"/>
  <c r="E332" i="1"/>
  <c r="H331" i="1"/>
  <c r="H332" i="1" l="1"/>
  <c r="D332" i="1"/>
  <c r="B332" i="1" s="1"/>
  <c r="E333" i="1"/>
  <c r="H333" i="1" l="1"/>
  <c r="D333" i="1"/>
  <c r="B333" i="1" s="1"/>
  <c r="E334" i="1"/>
  <c r="D334" i="1" l="1"/>
  <c r="B334" i="1" s="1"/>
  <c r="E335" i="1"/>
  <c r="H334" i="1"/>
  <c r="D335" i="1" l="1"/>
  <c r="B335" i="1" s="1"/>
  <c r="E336" i="1"/>
  <c r="H335" i="1"/>
  <c r="H336" i="1" l="1"/>
  <c r="D336" i="1"/>
  <c r="B336" i="1" s="1"/>
  <c r="E337" i="1"/>
  <c r="H337" i="1" l="1"/>
  <c r="E338" i="1"/>
  <c r="D337" i="1"/>
  <c r="B337" i="1" s="1"/>
  <c r="D338" i="1" l="1"/>
  <c r="B338" i="1" s="1"/>
  <c r="E339" i="1"/>
  <c r="H338" i="1"/>
  <c r="D339" i="1" l="1"/>
  <c r="B339" i="1" s="1"/>
  <c r="E340" i="1"/>
  <c r="H339" i="1"/>
  <c r="H340" i="1" l="1"/>
  <c r="D340" i="1"/>
  <c r="B340" i="1" s="1"/>
  <c r="E341" i="1"/>
  <c r="H341" i="1" l="1"/>
  <c r="D341" i="1"/>
  <c r="B341" i="1" s="1"/>
  <c r="E342" i="1"/>
  <c r="D342" i="1" l="1"/>
  <c r="B342" i="1" s="1"/>
  <c r="E343" i="1"/>
  <c r="H342" i="1"/>
  <c r="D343" i="1" l="1"/>
  <c r="B343" i="1" s="1"/>
  <c r="E344" i="1"/>
  <c r="H343" i="1"/>
  <c r="H344" i="1" l="1"/>
  <c r="D344" i="1"/>
  <c r="B344" i="1" s="1"/>
  <c r="E345" i="1"/>
  <c r="H345" i="1" l="1"/>
  <c r="E346" i="1"/>
  <c r="D345" i="1"/>
  <c r="B345" i="1" s="1"/>
  <c r="D346" i="1" l="1"/>
  <c r="B346" i="1" s="1"/>
  <c r="E347" i="1"/>
  <c r="H346" i="1"/>
  <c r="D347" i="1" l="1"/>
  <c r="B347" i="1" s="1"/>
  <c r="E348" i="1"/>
  <c r="H347" i="1"/>
  <c r="H348" i="1" l="1"/>
  <c r="D348" i="1"/>
  <c r="B348" i="1" s="1"/>
  <c r="E349" i="1"/>
  <c r="H349" i="1" l="1"/>
  <c r="E350" i="1"/>
  <c r="D349" i="1"/>
  <c r="B349" i="1" s="1"/>
  <c r="D350" i="1" l="1"/>
  <c r="B350" i="1" s="1"/>
  <c r="E351" i="1"/>
  <c r="H350" i="1"/>
  <c r="D351" i="1" l="1"/>
  <c r="B351" i="1" s="1"/>
  <c r="E352" i="1"/>
  <c r="H351" i="1"/>
  <c r="H352" i="1" l="1"/>
  <c r="D352" i="1"/>
  <c r="B352" i="1" s="1"/>
  <c r="E353" i="1"/>
  <c r="H353" i="1" l="1"/>
  <c r="E354" i="1"/>
  <c r="D353" i="1"/>
  <c r="B353" i="1" s="1"/>
  <c r="D354" i="1" l="1"/>
  <c r="B354" i="1" s="1"/>
  <c r="E355" i="1"/>
  <c r="H354" i="1"/>
  <c r="D355" i="1" l="1"/>
  <c r="B355" i="1" s="1"/>
  <c r="E356" i="1"/>
  <c r="H355" i="1"/>
  <c r="H356" i="1" l="1"/>
  <c r="D356" i="1"/>
  <c r="B356" i="1" s="1"/>
  <c r="E357" i="1"/>
  <c r="H357" i="1" l="1"/>
  <c r="E358" i="1"/>
  <c r="D357" i="1"/>
  <c r="B357" i="1" s="1"/>
  <c r="D358" i="1" l="1"/>
  <c r="B358" i="1" s="1"/>
  <c r="E359" i="1"/>
  <c r="H358" i="1"/>
  <c r="D359" i="1" l="1"/>
  <c r="B359" i="1" s="1"/>
  <c r="E360" i="1"/>
  <c r="H359" i="1"/>
  <c r="H360" i="1" l="1"/>
  <c r="D360" i="1"/>
  <c r="B360" i="1" s="1"/>
  <c r="E361" i="1"/>
  <c r="H361" i="1" l="1"/>
  <c r="D361" i="1"/>
  <c r="B361" i="1" s="1"/>
  <c r="E362" i="1"/>
  <c r="D362" i="1" l="1"/>
  <c r="B362" i="1" s="1"/>
  <c r="E363" i="1"/>
  <c r="H362" i="1"/>
  <c r="D363" i="1" l="1"/>
  <c r="B363" i="1" s="1"/>
  <c r="E364" i="1"/>
  <c r="H363" i="1"/>
  <c r="H364" i="1" l="1"/>
  <c r="D364" i="1"/>
  <c r="B364" i="1" s="1"/>
  <c r="E365" i="1"/>
  <c r="H365" i="1" l="1"/>
  <c r="D365" i="1"/>
  <c r="B365" i="1" s="1"/>
  <c r="E366" i="1"/>
  <c r="D366" i="1" l="1"/>
  <c r="B366" i="1" s="1"/>
  <c r="E367" i="1"/>
  <c r="H366" i="1"/>
  <c r="D367" i="1" l="1"/>
  <c r="B367" i="1" s="1"/>
  <c r="E368" i="1"/>
  <c r="H367" i="1"/>
  <c r="H368" i="1" l="1"/>
  <c r="D368" i="1"/>
  <c r="B368" i="1" s="1"/>
  <c r="E369" i="1"/>
  <c r="H369" i="1" l="1"/>
  <c r="E370" i="1"/>
  <c r="D369" i="1"/>
  <c r="B369" i="1" s="1"/>
  <c r="D370" i="1" l="1"/>
  <c r="B370" i="1" s="1"/>
  <c r="E371" i="1"/>
  <c r="H370" i="1"/>
  <c r="D371" i="1" l="1"/>
  <c r="B371" i="1" s="1"/>
  <c r="E372" i="1"/>
  <c r="H371" i="1"/>
  <c r="H372" i="1" l="1"/>
  <c r="D372" i="1"/>
  <c r="B372" i="1" s="1"/>
  <c r="E373" i="1"/>
  <c r="H373" i="1" l="1"/>
  <c r="D373" i="1"/>
  <c r="B373" i="1" s="1"/>
  <c r="E374" i="1"/>
  <c r="D374" i="1" l="1"/>
  <c r="B374" i="1" s="1"/>
  <c r="E375" i="1"/>
  <c r="H374" i="1"/>
  <c r="D375" i="1" l="1"/>
  <c r="B375" i="1" s="1"/>
  <c r="E376" i="1"/>
  <c r="H375" i="1"/>
  <c r="H376" i="1" l="1"/>
  <c r="D376" i="1"/>
  <c r="B376" i="1" s="1"/>
  <c r="E377" i="1"/>
  <c r="H377" i="1" l="1"/>
  <c r="E378" i="1"/>
  <c r="D377" i="1"/>
  <c r="B377" i="1" s="1"/>
  <c r="D378" i="1" l="1"/>
  <c r="B378" i="1" s="1"/>
  <c r="E379" i="1"/>
  <c r="H378" i="1"/>
  <c r="H379" i="1" l="1"/>
  <c r="D379" i="1"/>
  <c r="B379" i="1" s="1"/>
  <c r="B13" i="1"/>
  <c r="B10" i="1"/>
  <c r="F106" i="1"/>
  <c r="F318" i="1"/>
  <c r="F93" i="1"/>
  <c r="F112" i="1"/>
  <c r="F161" i="1"/>
  <c r="F118" i="1"/>
  <c r="F303" i="1"/>
  <c r="F262" i="1"/>
  <c r="F286" i="1"/>
  <c r="F242" i="1"/>
  <c r="F82" i="1"/>
  <c r="F67" i="1"/>
  <c r="F258" i="1"/>
  <c r="F264" i="1"/>
  <c r="F85" i="1"/>
  <c r="F220" i="1"/>
  <c r="F88" i="1"/>
  <c r="F255" i="1"/>
  <c r="F148" i="1"/>
  <c r="F347" i="1"/>
  <c r="F243" i="1"/>
  <c r="F245" i="1"/>
  <c r="F171" i="1"/>
  <c r="F314" i="1"/>
  <c r="F23" i="1"/>
  <c r="F28" i="1"/>
  <c r="F117" i="1"/>
  <c r="F228" i="1"/>
  <c r="F166" i="1"/>
  <c r="F103" i="1"/>
  <c r="F34" i="1"/>
  <c r="F107" i="1"/>
  <c r="F329" i="1"/>
  <c r="F172" i="1"/>
  <c r="F213" i="1"/>
  <c r="F69" i="1"/>
  <c r="F277" i="1"/>
  <c r="F373" i="1"/>
  <c r="F219" i="1"/>
  <c r="F302" i="1"/>
  <c r="F313" i="1"/>
  <c r="F73" i="1"/>
  <c r="F304" i="1"/>
  <c r="F296" i="1"/>
  <c r="F80" i="1"/>
  <c r="F55" i="1"/>
  <c r="F194" i="1"/>
  <c r="F270" i="1"/>
  <c r="F156" i="1"/>
  <c r="F202" i="1"/>
  <c r="F325" i="1"/>
  <c r="F222" i="1"/>
  <c r="F114" i="1"/>
  <c r="F50" i="1"/>
  <c r="F141" i="1"/>
  <c r="F121" i="1"/>
  <c r="F287" i="1"/>
  <c r="F33" i="1"/>
  <c r="F283" i="1"/>
  <c r="F128" i="1"/>
  <c r="F338" i="1"/>
  <c r="F144" i="1"/>
  <c r="F310" i="1"/>
  <c r="F175" i="1"/>
  <c r="F240" i="1"/>
  <c r="F361" i="1"/>
  <c r="F252" i="1"/>
  <c r="F25" i="1"/>
  <c r="F229" i="1"/>
  <c r="F210" i="1"/>
  <c r="F227" i="1"/>
  <c r="F376" i="1"/>
  <c r="F355" i="1"/>
  <c r="F248" i="1"/>
  <c r="F273" i="1"/>
  <c r="F66" i="1"/>
  <c r="F206" i="1"/>
  <c r="F348" i="1"/>
  <c r="F334" i="1"/>
  <c r="F184" i="1"/>
  <c r="F290" i="1"/>
  <c r="F173" i="1"/>
  <c r="F29" i="1"/>
  <c r="F116" i="1"/>
  <c r="F257" i="1"/>
  <c r="F185" i="1"/>
  <c r="F83" i="1"/>
  <c r="F266" i="1"/>
  <c r="F299" i="1"/>
  <c r="F201" i="1"/>
  <c r="F180" i="1"/>
  <c r="F123" i="1"/>
  <c r="F254" i="1"/>
  <c r="F218" i="1"/>
  <c r="F207" i="1"/>
  <c r="F45" i="1"/>
  <c r="F26" i="1"/>
  <c r="F353" i="1"/>
  <c r="F153" i="1"/>
  <c r="F86" i="1"/>
  <c r="F137" i="1"/>
  <c r="F97" i="1"/>
  <c r="F214" i="1"/>
  <c r="F132" i="1"/>
  <c r="F281" i="1"/>
  <c r="F90" i="1"/>
  <c r="F358" i="1"/>
  <c r="F377" i="1"/>
  <c r="F342" i="1"/>
  <c r="F367" i="1"/>
  <c r="F311" i="1"/>
  <c r="F105" i="1"/>
  <c r="F234" i="1"/>
  <c r="F56" i="1"/>
  <c r="F279" i="1"/>
  <c r="F305" i="1"/>
  <c r="F119" i="1"/>
  <c r="F278" i="1"/>
  <c r="F115" i="1"/>
  <c r="F27" i="1"/>
  <c r="F259" i="1"/>
  <c r="F345" i="1"/>
  <c r="F211" i="1"/>
  <c r="F58" i="1"/>
  <c r="F250" i="1"/>
  <c r="F272" i="1"/>
  <c r="F170" i="1"/>
  <c r="F120" i="1"/>
  <c r="F232" i="1"/>
  <c r="F300" i="1"/>
  <c r="F282" i="1"/>
  <c r="F98" i="1"/>
  <c r="F81" i="1"/>
  <c r="F359" i="1"/>
  <c r="F42" i="1"/>
  <c r="F60" i="1"/>
  <c r="F288" i="1"/>
  <c r="F140" i="1"/>
  <c r="F239" i="1"/>
  <c r="F366" i="1"/>
  <c r="F341" i="1"/>
  <c r="F291" i="1"/>
  <c r="F199" i="1"/>
  <c r="F231" i="1"/>
  <c r="F209" i="1"/>
  <c r="F297" i="1"/>
  <c r="F238" i="1"/>
  <c r="F308" i="1"/>
  <c r="F190" i="1"/>
  <c r="F316" i="1"/>
  <c r="F378" i="1"/>
  <c r="F109" i="1"/>
  <c r="F40" i="1"/>
  <c r="F379" i="1"/>
  <c r="F337" i="1"/>
  <c r="F330" i="1"/>
  <c r="F101" i="1"/>
  <c r="F52" i="1"/>
  <c r="F263" i="1"/>
  <c r="F49" i="1"/>
  <c r="F374" i="1"/>
  <c r="F152" i="1"/>
  <c r="F168" i="1"/>
  <c r="F332" i="1"/>
  <c r="F269" i="1"/>
  <c r="F344" i="1"/>
  <c r="F169" i="1"/>
  <c r="F241" i="1"/>
  <c r="F216" i="1"/>
  <c r="F53" i="1"/>
  <c r="F77" i="1"/>
  <c r="F212" i="1"/>
  <c r="F122" i="1"/>
  <c r="F75" i="1"/>
  <c r="F71" i="1"/>
  <c r="F224" i="1"/>
  <c r="F246" i="1"/>
  <c r="F333" i="1"/>
  <c r="F126" i="1"/>
  <c r="F197" i="1"/>
  <c r="F72" i="1"/>
  <c r="F167" i="1"/>
  <c r="F131" i="1"/>
  <c r="F236" i="1"/>
  <c r="F324" i="1"/>
  <c r="F196" i="1"/>
  <c r="F346" i="1"/>
  <c r="F253" i="1"/>
  <c r="F307" i="1"/>
  <c r="F187" i="1"/>
  <c r="F364" i="1"/>
  <c r="F63" i="1"/>
  <c r="F164" i="1"/>
  <c r="F149" i="1"/>
  <c r="F357" i="1"/>
  <c r="F256" i="1"/>
  <c r="F181" i="1"/>
  <c r="F274" i="1"/>
  <c r="F276" i="1"/>
  <c r="F177" i="1"/>
  <c r="F133" i="1"/>
  <c r="F57" i="1"/>
  <c r="F221" i="1"/>
  <c r="F294" i="1"/>
  <c r="F163" i="1"/>
  <c r="F32" i="1"/>
  <c r="F237" i="1"/>
  <c r="F143" i="1"/>
  <c r="F95" i="1"/>
  <c r="F62" i="1"/>
  <c r="F124" i="1"/>
  <c r="F79" i="1"/>
  <c r="F280" i="1"/>
  <c r="F292" i="1"/>
  <c r="F108" i="1"/>
  <c r="F301" i="1"/>
  <c r="F74" i="1"/>
  <c r="F24" i="1"/>
  <c r="F203" i="1"/>
  <c r="F200" i="1"/>
  <c r="F41" i="1"/>
  <c r="F320" i="1"/>
  <c r="F113" i="1"/>
  <c r="F335" i="1"/>
  <c r="F76" i="1"/>
  <c r="F217" i="1"/>
  <c r="F130" i="1"/>
  <c r="F208" i="1"/>
  <c r="F369" i="1"/>
  <c r="F186" i="1"/>
  <c r="F154" i="1"/>
  <c r="F368" i="1"/>
  <c r="F230" i="1"/>
  <c r="F370" i="1"/>
  <c r="F21" i="1"/>
  <c r="F31" i="1"/>
  <c r="F78" i="1"/>
  <c r="F59" i="1"/>
  <c r="F372" i="1"/>
  <c r="F343" i="1"/>
  <c r="F233" i="1"/>
  <c r="F39" i="1"/>
  <c r="F249" i="1"/>
  <c r="F192" i="1"/>
  <c r="F223" i="1"/>
  <c r="F298" i="1"/>
  <c r="F295" i="1"/>
  <c r="F193" i="1"/>
  <c r="F315" i="1"/>
  <c r="F136" i="1"/>
  <c r="F182" i="1"/>
  <c r="F142" i="1"/>
  <c r="F265" i="1"/>
  <c r="F91" i="1"/>
  <c r="F352" i="1"/>
  <c r="F22" i="1"/>
  <c r="F312" i="1"/>
  <c r="F198" i="1"/>
  <c r="F176" i="1"/>
  <c r="F146" i="1"/>
  <c r="F319" i="1"/>
  <c r="F30" i="1"/>
  <c r="F145" i="1"/>
  <c r="F44" i="1"/>
  <c r="F225" i="1"/>
  <c r="F275" i="1"/>
  <c r="F165" i="1"/>
  <c r="F340" i="1"/>
  <c r="F65" i="1"/>
  <c r="F354" i="1"/>
  <c r="F268" i="1"/>
  <c r="F84" i="1"/>
  <c r="F251" i="1"/>
  <c r="F158" i="1"/>
  <c r="F174" i="1"/>
  <c r="F326" i="1"/>
  <c r="F89" i="1"/>
  <c r="F309" i="1"/>
  <c r="F35" i="1"/>
  <c r="F323" i="1"/>
  <c r="F48" i="1"/>
  <c r="F100" i="1"/>
  <c r="F96" i="1"/>
  <c r="F20" i="1"/>
  <c r="F215" i="1"/>
  <c r="F306" i="1"/>
  <c r="F195" i="1"/>
  <c r="F317" i="1"/>
  <c r="F127" i="1"/>
  <c r="F284" i="1"/>
  <c r="F267" i="1"/>
  <c r="F363" i="1"/>
  <c r="F331" i="1"/>
  <c r="F36" i="1"/>
  <c r="F147" i="1"/>
  <c r="F321" i="1"/>
  <c r="F37" i="1"/>
  <c r="F322" i="1"/>
  <c r="F289" i="1"/>
  <c r="F362" i="1"/>
  <c r="F336" i="1"/>
  <c r="F183" i="1"/>
  <c r="F102" i="1"/>
  <c r="F350" i="1"/>
  <c r="F151" i="1"/>
  <c r="F135" i="1"/>
  <c r="F125" i="1"/>
  <c r="F70" i="1"/>
  <c r="F205" i="1"/>
  <c r="F64" i="1"/>
  <c r="F188" i="1"/>
  <c r="F328" i="1"/>
  <c r="F285" i="1"/>
  <c r="F104" i="1"/>
  <c r="F43" i="1"/>
  <c r="F247" i="1"/>
  <c r="F47" i="1"/>
  <c r="F134" i="1"/>
  <c r="F189" i="1"/>
  <c r="F293" i="1"/>
  <c r="F260" i="1"/>
  <c r="F179" i="1"/>
  <c r="F178" i="1"/>
  <c r="F150" i="1"/>
  <c r="F139" i="1"/>
  <c r="F360" i="1"/>
  <c r="F99" i="1"/>
  <c r="F162" i="1"/>
  <c r="F61" i="1"/>
  <c r="F92" i="1"/>
  <c r="F235" i="1"/>
  <c r="F94" i="1"/>
  <c r="F271" i="1"/>
  <c r="F46" i="1"/>
  <c r="F160" i="1"/>
  <c r="F110" i="1"/>
  <c r="F54" i="1"/>
  <c r="F375" i="1"/>
  <c r="F371" i="1"/>
  <c r="F351" i="1"/>
  <c r="F111" i="1"/>
  <c r="F87" i="1"/>
  <c r="F157" i="1"/>
  <c r="F261" i="1"/>
  <c r="F155" i="1"/>
  <c r="F191" i="1"/>
  <c r="F204" i="1"/>
  <c r="F68" i="1"/>
  <c r="F365" i="1"/>
  <c r="F138" i="1"/>
  <c r="F349" i="1"/>
  <c r="F38" i="1"/>
  <c r="F356" i="1"/>
  <c r="F51" i="1"/>
  <c r="F327" i="1"/>
  <c r="F129" i="1"/>
  <c r="F159" i="1"/>
  <c r="F339" i="1"/>
  <c r="F226" i="1"/>
  <c r="B14" i="1"/>
  <c r="F244" i="1"/>
</calcChain>
</file>

<file path=xl/sharedStrings.xml><?xml version="1.0" encoding="utf-8"?>
<sst xmlns="http://schemas.openxmlformats.org/spreadsheetml/2006/main" count="141" uniqueCount="123">
  <si>
    <t>SIMULADOR DE FINANCIAMENTO IMOBILIÁRIO - SISTEMA SAC</t>
  </si>
  <si>
    <t>Caixa Econômica Federal - Taxas atualizadas Julho/2026</t>
  </si>
  <si>
    <t>PARÂMETROS DE ENTRADA</t>
  </si>
  <si>
    <t>Valor do Imóvel (R$):</t>
  </si>
  <si>
    <t>Percentual Financiado (%):</t>
  </si>
  <si>
    <t>Valor de Entrada (R$):</t>
  </si>
  <si>
    <t>Valor Financiado (R$):</t>
  </si>
  <si>
    <t>Taxa de Juros Anual (%):</t>
  </si>
  <si>
    <t>Taxa de Juros Mensal (%):</t>
  </si>
  <si>
    <t>Prazo (meses):</t>
  </si>
  <si>
    <t>TR Anual Estimada (%):</t>
  </si>
  <si>
    <t>TR Mensal Estimada (%):</t>
  </si>
  <si>
    <t>Taxa Efetiva Mensal (%):</t>
  </si>
  <si>
    <t>CET Estimado (a.a.):</t>
  </si>
  <si>
    <t>TABELA DE AMORTIZAÇÃO - SAC</t>
  </si>
  <si>
    <t>Mês</t>
  </si>
  <si>
    <t>Prestação (R$)</t>
  </si>
  <si>
    <t>Amortização (R$)</t>
  </si>
  <si>
    <t>Juros (R$)</t>
  </si>
  <si>
    <t>Saldo Devedor (R$)</t>
  </si>
  <si>
    <t>Prestação c/ TR (R$)</t>
  </si>
  <si>
    <t>Saldo c/ TR (R$)</t>
  </si>
  <si>
    <t>% Amortizado</t>
  </si>
  <si>
    <t>COMPARAÇÃO SISTEMA SAC vs PRICE</t>
  </si>
  <si>
    <t>Valor Financiado (R$)</t>
  </si>
  <si>
    <t>Taxa de Juros Anual</t>
  </si>
  <si>
    <t>Prazo (meses)</t>
  </si>
  <si>
    <t>Prestação SAC</t>
  </si>
  <si>
    <t>Prestação Price</t>
  </si>
  <si>
    <t>Juros SAC</t>
  </si>
  <si>
    <t>Juros Price</t>
  </si>
  <si>
    <t>Diferença</t>
  </si>
  <si>
    <t>RESUMO COMPARATIVO (360 meses)</t>
  </si>
  <si>
    <t>Total Pago - SAC (R$)</t>
  </si>
  <si>
    <t>Total Pago - PRICE (R$)</t>
  </si>
  <si>
    <t>Total Juros - SAC (R$)</t>
  </si>
  <si>
    <t>Total Juros - PRICE (R$)</t>
  </si>
  <si>
    <t>Economia SAC vs PRICE (R$)</t>
  </si>
  <si>
    <t>1ª Parcela SAC (R$)</t>
  </si>
  <si>
    <t>Última Parcela SAC (R$)</t>
  </si>
  <si>
    <t>Parcela Fixa PRICE (R$)</t>
  </si>
  <si>
    <t>TAXAS DE REFERÊNCIA - FINANCIAMENTO IMOBILIÁRIO (Julho/2026)</t>
  </si>
  <si>
    <t>Banco/Modalidade</t>
  </si>
  <si>
    <t>Taxa Nominal (a.a.)</t>
  </si>
  <si>
    <t>Indexador</t>
  </si>
  <si>
    <t>CET Estimado</t>
  </si>
  <si>
    <t>CAIXA - SBPE Padrão</t>
  </si>
  <si>
    <t>TR</t>
  </si>
  <si>
    <t>CAIXA - SBPE Relacionamento</t>
  </si>
  <si>
    <t>CAIXA - Pró-Cotista FGTS</t>
  </si>
  <si>
    <t>CAIXA - MCMV Faixa 1</t>
  </si>
  <si>
    <t>CAIXA - MCMV Faixa 2</t>
  </si>
  <si>
    <t>CAIXA - MCMV Faixa 3</t>
  </si>
  <si>
    <t>ITAÚ - SBPE</t>
  </si>
  <si>
    <t>BRADESCO - SBPE</t>
  </si>
  <si>
    <t>SANTANDER - SBPE</t>
  </si>
  <si>
    <t>BANCO DO BRASIL - SBPE</t>
  </si>
  <si>
    <t>BRB - SBPE</t>
  </si>
  <si>
    <t>INTER - SBPE</t>
  </si>
  <si>
    <t>INDICADORES ECONÔMICOS - REFERÊNCIA</t>
  </si>
  <si>
    <t>Selic Meta (atual)</t>
  </si>
  <si>
    <t>14,25% a.a.</t>
  </si>
  <si>
    <t>TR (Taxa Referencial)</t>
  </si>
  <si>
    <t>~0,12% a.m. / ~1,16% a.a.</t>
  </si>
  <si>
    <t>INCC (médio 12 meses)</t>
  </si>
  <si>
    <t>~6,5% a.a.</t>
  </si>
  <si>
    <t>IPCA (acumulado 12 meses)</t>
  </si>
  <si>
    <t>~4,5% a.a.</t>
  </si>
  <si>
    <t>Poupança (rendimento)</t>
  </si>
  <si>
    <t>0,5% a.m. + TR</t>
  </si>
  <si>
    <t>Teto SFH</t>
  </si>
  <si>
    <t>R$ 2.250.000,00</t>
  </si>
  <si>
    <t>Entrada mínima SFH</t>
  </si>
  <si>
    <t>20%</t>
  </si>
  <si>
    <t>Prazo máximo</t>
  </si>
  <si>
    <t>420 meses (35 anos)</t>
  </si>
  <si>
    <t>CUSTO MÉDIO DE CONSTRUÇÃO POR m² (Referência: SINAPI/Julho 2026)</t>
  </si>
  <si>
    <t>Padrão da Obra</t>
  </si>
  <si>
    <t>Alvenaria (R$/m²)</t>
  </si>
  <si>
    <t>Steel Frame (R$/m²)</t>
  </si>
  <si>
    <t>Diferença (R$)</t>
  </si>
  <si>
    <t>% Diferença</t>
  </si>
  <si>
    <t>Baixo Padrão</t>
  </si>
  <si>
    <t>Médio Padrão</t>
  </si>
  <si>
    <t>Alto Padrão</t>
  </si>
  <si>
    <t>Luxo</t>
  </si>
  <si>
    <t>DISTRIBUIÇÃO PERCENTUAL POR ETAPA (Médio Padrão)</t>
  </si>
  <si>
    <t>Etapa da Obra</t>
  </si>
  <si>
    <t>% do Total</t>
  </si>
  <si>
    <t>Valor (R$/m²)</t>
  </si>
  <si>
    <t>Descrição</t>
  </si>
  <si>
    <t>Duração Estimada</t>
  </si>
  <si>
    <t>Serviços Preliminares</t>
  </si>
  <si>
    <t>Limpeza, locação, instalação provisória</t>
  </si>
  <si>
    <t>1 semana</t>
  </si>
  <si>
    <t>Fundações</t>
  </si>
  <si>
    <t>Sapatas, radier, estacas, vigas baldrame</t>
  </si>
  <si>
    <t>2-3 semanas</t>
  </si>
  <si>
    <t>Estrutura</t>
  </si>
  <si>
    <t>Pilares, vigas, lajes (concreto ou aço)</t>
  </si>
  <si>
    <t>4-8 semanas</t>
  </si>
  <si>
    <t>Paredes/Alvenaria</t>
  </si>
  <si>
    <t>Tijolos/blocos, argamassa, verga/contraverga</t>
  </si>
  <si>
    <t>3-5 semanas</t>
  </si>
  <si>
    <t>Cobertura</t>
  </si>
  <si>
    <t>Telhas, estrutura, calhas, rufos</t>
  </si>
  <si>
    <t>Instalações Elétricas</t>
  </si>
  <si>
    <t>Fios, cabos, disjuntores, tomadas, iluminação</t>
  </si>
  <si>
    <t>Instalações Hidráulicas</t>
  </si>
  <si>
    <t>Tubulações, conexões, caixa d'água, esgoto</t>
  </si>
  <si>
    <t>2-4 semanas</t>
  </si>
  <si>
    <t>Revestimentos</t>
  </si>
  <si>
    <t>Chapisco, reboco, massa corrida, azulejos</t>
  </si>
  <si>
    <t>4-6 semanas</t>
  </si>
  <si>
    <t>Esquadrias</t>
  </si>
  <si>
    <t>Janelas, portas, portões, ferragens</t>
  </si>
  <si>
    <t>Pavimentação</t>
  </si>
  <si>
    <t>Contrapiso, revestimento de piso</t>
  </si>
  <si>
    <t>Pintura</t>
  </si>
  <si>
    <t>Tintas, vernizes, texturas</t>
  </si>
  <si>
    <t>Acabamentos Finais</t>
  </si>
  <si>
    <t>Louças, metais, bancadas, limpeza final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</si>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</sst>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666666"/>
      <name val="Calibri"/>
    </font>
    <font>
      <b/>
      <sz val="12"/>
      <color rgb="FF003366"/>
      <name val="Calibri"/>
    </font>
    <font>
      <b/>
      <sz val="10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2F7FB"/>
        <bgColor rgb="FFF2F7FB"/>
      </patternFill>
    </fill>
    <fill>
      <patternFill patternType="solid">
        <fgColor rgb="FFD6E4F0"/>
        <bgColor rgb="FFD6E4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/>
    <xf numFmtId="4" fontId="0" fillId="3" borderId="1" xfId="0" applyNumberFormat="1" applyFill="1" applyBorder="1"/>
    <xf numFmtId="10" fontId="0" fillId="3" borderId="1" xfId="0" applyNumberFormat="1" applyFill="1" applyBorder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4" fontId="0" fillId="3" borderId="0" xfId="0" applyNumberFormat="1" applyFill="1"/>
    <xf numFmtId="10" fontId="0" fillId="3" borderId="0" xfId="0" applyNumberFormat="1" applyFill="1"/>
    <xf numFmtId="0" fontId="5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/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6" fillId="4" borderId="1" xfId="0" applyFont="1" applyFill="1" applyBorder="1"/>
    <xf numFmtId="9" fontId="6" fillId="4" borderId="1" xfId="0" applyNumberFormat="1" applyFont="1" applyFill="1" applyBorder="1"/>
    <xf numFmtId="3" fontId="6" fillId="4" borderId="1" xfId="0" applyNumberFormat="1" applyFont="1" applyFill="1" applyBorder="1"/>
    <xf numFmtId="0" fontId="0" fillId="4" borderId="0" xfId="0" applyFill="1"/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9"/>
  <sheetViews>
    <sheetView tabSelected="1" workbookViewId="0">
      <selection activeCell="H15" sqref="H15"/>
    </sheetView>
  </sheetViews>
  <sheetFormatPr defaultRowHeight="14.4" x14ac:dyDescent="0.3"/>
  <cols>
    <col min="1" max="1" width="30" customWidth="1"/>
    <col min="2" max="8" width="18" customWidth="1"/>
  </cols>
  <sheetData>
    <row r="1" spans="1:8" ht="30" customHeight="1" x14ac:dyDescent="0.3">
      <c r="A1" s="30" t="s">
        <v>0</v>
      </c>
      <c r="B1" s="27"/>
      <c r="C1" s="27"/>
      <c r="D1" s="27"/>
      <c r="E1" s="27"/>
      <c r="F1" s="27"/>
      <c r="G1" s="27"/>
      <c r="H1" s="27"/>
    </row>
    <row r="2" spans="1:8" x14ac:dyDescent="0.3">
      <c r="A2" s="29" t="s">
        <v>1</v>
      </c>
      <c r="B2" s="27"/>
      <c r="C2" s="27"/>
      <c r="D2" s="27"/>
      <c r="E2" s="27"/>
      <c r="F2" s="27"/>
      <c r="G2" s="27"/>
      <c r="H2" s="27"/>
    </row>
    <row r="4" spans="1:8" ht="15.6" x14ac:dyDescent="0.3">
      <c r="A4" s="28" t="s">
        <v>2</v>
      </c>
      <c r="B4" s="27"/>
      <c r="C4" s="27"/>
      <c r="D4" s="27"/>
    </row>
    <row r="5" spans="1:8" x14ac:dyDescent="0.3">
      <c r="A5" s="1" t="s">
        <v>3</v>
      </c>
      <c r="B5" s="2">
        <v>550000</v>
      </c>
    </row>
    <row r="6" spans="1:8" x14ac:dyDescent="0.3">
      <c r="A6" s="1" t="s">
        <v>4</v>
      </c>
      <c r="B6" s="3">
        <v>0.8</v>
      </c>
    </row>
    <row r="7" spans="1:8" x14ac:dyDescent="0.3">
      <c r="A7" s="1" t="s">
        <v>5</v>
      </c>
      <c r="B7" s="2">
        <f>B5*(1-B6)</f>
        <v>109999.99999999997</v>
      </c>
    </row>
    <row r="8" spans="1:8" x14ac:dyDescent="0.3">
      <c r="A8" s="1" t="s">
        <v>6</v>
      </c>
      <c r="B8" s="2">
        <f>B5*B6</f>
        <v>440000</v>
      </c>
    </row>
    <row r="9" spans="1:8" x14ac:dyDescent="0.3">
      <c r="A9" s="1" t="s">
        <v>7</v>
      </c>
      <c r="B9" s="3">
        <v>0.1119</v>
      </c>
    </row>
    <row r="10" spans="1:8" x14ac:dyDescent="0.3">
      <c r="A10" s="1" t="s">
        <v>8</v>
      </c>
      <c r="B10" s="2" t="str">
        <f ca="1">(1+B10)^(1/12)-1</f>
        <v/>
      </c>
    </row>
    <row r="11" spans="1:8" x14ac:dyDescent="0.3">
      <c r="A11" s="1" t="s">
        <v>9</v>
      </c>
      <c r="B11" s="2">
        <v>360</v>
      </c>
    </row>
    <row r="12" spans="1:8" x14ac:dyDescent="0.3">
      <c r="A12" s="1" t="s">
        <v>10</v>
      </c>
      <c r="B12" s="3">
        <v>1.1599999999999999E-2</v>
      </c>
    </row>
    <row r="13" spans="1:8" x14ac:dyDescent="0.3">
      <c r="A13" s="1" t="s">
        <v>11</v>
      </c>
      <c r="B13" s="2" t="str">
        <f ca="1">(1+B13)^(1/12)-1</f>
        <v/>
      </c>
    </row>
    <row r="14" spans="1:8" x14ac:dyDescent="0.3">
      <c r="A14" s="1" t="s">
        <v>12</v>
      </c>
      <c r="B14" s="2" t="str">
        <f ca="1">B11+B14</f>
        <v/>
      </c>
    </row>
    <row r="15" spans="1:8" x14ac:dyDescent="0.3">
      <c r="A15" s="1" t="s">
        <v>13</v>
      </c>
      <c r="B15" s="3">
        <v>0.1295</v>
      </c>
    </row>
    <row r="18" spans="1:8" ht="15.6" x14ac:dyDescent="0.3">
      <c r="A18" s="28" t="s">
        <v>14</v>
      </c>
      <c r="B18" s="27"/>
      <c r="C18" s="27"/>
      <c r="D18" s="27"/>
      <c r="E18" s="27"/>
      <c r="F18" s="27"/>
      <c r="G18" s="27"/>
      <c r="H18" s="27"/>
    </row>
    <row r="19" spans="1:8" ht="28.8" x14ac:dyDescent="0.3">
      <c r="A19" s="4" t="s">
        <v>15</v>
      </c>
      <c r="B19" s="4" t="s">
        <v>16</v>
      </c>
      <c r="C19" s="4" t="s">
        <v>17</v>
      </c>
      <c r="D19" s="4" t="s">
        <v>18</v>
      </c>
      <c r="E19" s="4" t="s">
        <v>19</v>
      </c>
      <c r="F19" s="4" t="s">
        <v>20</v>
      </c>
      <c r="G19" s="4" t="s">
        <v>21</v>
      </c>
      <c r="H19" s="4" t="s">
        <v>22</v>
      </c>
    </row>
    <row r="20" spans="1:8" x14ac:dyDescent="0.3">
      <c r="A20" s="5">
        <v>1</v>
      </c>
      <c r="B20" s="6">
        <f t="shared" ref="B20:B83" si="0">C20+D20</f>
        <v>37988014.482758626</v>
      </c>
      <c r="C20" s="6">
        <f t="shared" ref="C20:C83" si="1">$B$8/$B$12</f>
        <v>37931034.482758626</v>
      </c>
      <c r="D20" s="6">
        <f t="shared" ref="D20:D83" si="2">E20*$B$15</f>
        <v>56980</v>
      </c>
      <c r="E20" s="6">
        <f>$B$8</f>
        <v>440000</v>
      </c>
      <c r="F20" s="6" t="str">
        <f t="shared" ref="F20:F83" ca="1" si="3">B20*(1+$B$14)</f>
        <v/>
      </c>
      <c r="G20" s="6"/>
      <c r="H20" s="7">
        <f t="shared" ref="H20:H83" si="4">1-E20/$B$8</f>
        <v>0</v>
      </c>
    </row>
    <row r="21" spans="1:8" x14ac:dyDescent="0.3">
      <c r="A21" s="8">
        <v>2</v>
      </c>
      <c r="B21" s="9">
        <f t="shared" si="0"/>
        <v>33075945.517241385</v>
      </c>
      <c r="C21" s="9">
        <f t="shared" si="1"/>
        <v>37931034.482758626</v>
      </c>
      <c r="D21" s="9">
        <f t="shared" si="2"/>
        <v>-4855088.9655172424</v>
      </c>
      <c r="E21" s="9">
        <f t="shared" ref="E21:E84" si="5">E20-C21</f>
        <v>-37491034.482758626</v>
      </c>
      <c r="F21" s="9" t="str">
        <f t="shared" ca="1" si="3"/>
        <v/>
      </c>
      <c r="G21" s="9"/>
      <c r="H21" s="10">
        <f t="shared" si="4"/>
        <v>86.206896551724157</v>
      </c>
    </row>
    <row r="22" spans="1:8" x14ac:dyDescent="0.3">
      <c r="A22" s="5">
        <v>3</v>
      </c>
      <c r="B22" s="6">
        <f t="shared" si="0"/>
        <v>28163876.551724143</v>
      </c>
      <c r="C22" s="6">
        <f t="shared" si="1"/>
        <v>37931034.482758626</v>
      </c>
      <c r="D22" s="6">
        <f t="shared" si="2"/>
        <v>-9767157.9310344849</v>
      </c>
      <c r="E22" s="6">
        <f t="shared" si="5"/>
        <v>-75422068.965517253</v>
      </c>
      <c r="F22" s="6" t="str">
        <f t="shared" ca="1" si="3"/>
        <v/>
      </c>
      <c r="G22" s="6"/>
      <c r="H22" s="7">
        <f t="shared" si="4"/>
        <v>172.41379310344831</v>
      </c>
    </row>
    <row r="23" spans="1:8" x14ac:dyDescent="0.3">
      <c r="A23" s="8">
        <v>4</v>
      </c>
      <c r="B23" s="9">
        <f t="shared" si="0"/>
        <v>23251807.586206898</v>
      </c>
      <c r="C23" s="9">
        <f t="shared" si="1"/>
        <v>37931034.482758626</v>
      </c>
      <c r="D23" s="9">
        <f t="shared" si="2"/>
        <v>-14679226.896551726</v>
      </c>
      <c r="E23" s="9">
        <f t="shared" si="5"/>
        <v>-113353103.44827588</v>
      </c>
      <c r="F23" s="9" t="str">
        <f t="shared" ca="1" si="3"/>
        <v/>
      </c>
      <c r="G23" s="9"/>
      <c r="H23" s="10">
        <f t="shared" si="4"/>
        <v>258.62068965517244</v>
      </c>
    </row>
    <row r="24" spans="1:8" x14ac:dyDescent="0.3">
      <c r="A24" s="5">
        <v>5</v>
      </c>
      <c r="B24" s="6">
        <f t="shared" si="0"/>
        <v>18339738.620689657</v>
      </c>
      <c r="C24" s="6">
        <f t="shared" si="1"/>
        <v>37931034.482758626</v>
      </c>
      <c r="D24" s="6">
        <f t="shared" si="2"/>
        <v>-19591295.86206897</v>
      </c>
      <c r="E24" s="6">
        <f t="shared" si="5"/>
        <v>-151284137.93103451</v>
      </c>
      <c r="F24" s="6" t="str">
        <f t="shared" ca="1" si="3"/>
        <v/>
      </c>
      <c r="G24" s="6"/>
      <c r="H24" s="7">
        <f t="shared" si="4"/>
        <v>344.82758620689663</v>
      </c>
    </row>
    <row r="25" spans="1:8" x14ac:dyDescent="0.3">
      <c r="A25" s="8">
        <v>6</v>
      </c>
      <c r="B25" s="9">
        <f t="shared" si="0"/>
        <v>13427669.655172411</v>
      </c>
      <c r="C25" s="9">
        <f t="shared" si="1"/>
        <v>37931034.482758626</v>
      </c>
      <c r="D25" s="9">
        <f t="shared" si="2"/>
        <v>-24503364.827586215</v>
      </c>
      <c r="E25" s="9">
        <f t="shared" si="5"/>
        <v>-189215172.41379315</v>
      </c>
      <c r="F25" s="9" t="str">
        <f t="shared" ca="1" si="3"/>
        <v/>
      </c>
      <c r="G25" s="9"/>
      <c r="H25" s="10">
        <f t="shared" si="4"/>
        <v>431.03448275862081</v>
      </c>
    </row>
    <row r="26" spans="1:8" x14ac:dyDescent="0.3">
      <c r="A26" s="5">
        <v>7</v>
      </c>
      <c r="B26" s="6">
        <f t="shared" si="0"/>
        <v>8515600.6896551698</v>
      </c>
      <c r="C26" s="6">
        <f t="shared" si="1"/>
        <v>37931034.482758626</v>
      </c>
      <c r="D26" s="6">
        <f t="shared" si="2"/>
        <v>-29415433.793103456</v>
      </c>
      <c r="E26" s="6">
        <f t="shared" si="5"/>
        <v>-227146206.89655179</v>
      </c>
      <c r="F26" s="6" t="str">
        <f t="shared" ca="1" si="3"/>
        <v/>
      </c>
      <c r="G26" s="6"/>
      <c r="H26" s="7">
        <f t="shared" si="4"/>
        <v>517.241379310345</v>
      </c>
    </row>
    <row r="27" spans="1:8" x14ac:dyDescent="0.3">
      <c r="A27" s="8">
        <v>8</v>
      </c>
      <c r="B27" s="9">
        <f t="shared" si="0"/>
        <v>3603531.7241379246</v>
      </c>
      <c r="C27" s="9">
        <f t="shared" si="1"/>
        <v>37931034.482758626</v>
      </c>
      <c r="D27" s="9">
        <f t="shared" si="2"/>
        <v>-34327502.758620702</v>
      </c>
      <c r="E27" s="9">
        <f t="shared" si="5"/>
        <v>-265077241.37931043</v>
      </c>
      <c r="F27" s="9" t="str">
        <f t="shared" ca="1" si="3"/>
        <v/>
      </c>
      <c r="G27" s="9"/>
      <c r="H27" s="10">
        <f t="shared" si="4"/>
        <v>603.44827586206918</v>
      </c>
    </row>
    <row r="28" spans="1:8" x14ac:dyDescent="0.3">
      <c r="A28" s="5">
        <v>9</v>
      </c>
      <c r="B28" s="6">
        <f t="shared" si="0"/>
        <v>-1308537.2413793206</v>
      </c>
      <c r="C28" s="6">
        <f t="shared" si="1"/>
        <v>37931034.482758626</v>
      </c>
      <c r="D28" s="6">
        <f t="shared" si="2"/>
        <v>-39239571.724137947</v>
      </c>
      <c r="E28" s="6">
        <f t="shared" si="5"/>
        <v>-303008275.86206907</v>
      </c>
      <c r="F28" s="6" t="str">
        <f t="shared" ca="1" si="3"/>
        <v/>
      </c>
      <c r="G28" s="6"/>
      <c r="H28" s="7">
        <f t="shared" si="4"/>
        <v>689.65517241379337</v>
      </c>
    </row>
    <row r="29" spans="1:8" x14ac:dyDescent="0.3">
      <c r="A29" s="8">
        <v>10</v>
      </c>
      <c r="B29" s="9">
        <f t="shared" si="0"/>
        <v>-6220606.2068965659</v>
      </c>
      <c r="C29" s="9">
        <f t="shared" si="1"/>
        <v>37931034.482758626</v>
      </c>
      <c r="D29" s="9">
        <f t="shared" si="2"/>
        <v>-44151640.689655192</v>
      </c>
      <c r="E29" s="9">
        <f t="shared" si="5"/>
        <v>-340939310.34482771</v>
      </c>
      <c r="F29" s="9" t="str">
        <f t="shared" ca="1" si="3"/>
        <v/>
      </c>
      <c r="G29" s="9"/>
      <c r="H29" s="10">
        <f t="shared" si="4"/>
        <v>775.86206896551755</v>
      </c>
    </row>
    <row r="30" spans="1:8" x14ac:dyDescent="0.3">
      <c r="A30" s="5">
        <v>11</v>
      </c>
      <c r="B30" s="6">
        <f t="shared" si="0"/>
        <v>-11132675.172413811</v>
      </c>
      <c r="C30" s="6">
        <f t="shared" si="1"/>
        <v>37931034.482758626</v>
      </c>
      <c r="D30" s="6">
        <f t="shared" si="2"/>
        <v>-49063709.655172437</v>
      </c>
      <c r="E30" s="6">
        <f t="shared" si="5"/>
        <v>-378870344.82758635</v>
      </c>
      <c r="F30" s="6" t="str">
        <f t="shared" ca="1" si="3"/>
        <v/>
      </c>
      <c r="G30" s="6"/>
      <c r="H30" s="7">
        <f t="shared" si="4"/>
        <v>862.06896551724174</v>
      </c>
    </row>
    <row r="31" spans="1:8" x14ac:dyDescent="0.3">
      <c r="A31" s="8">
        <v>12</v>
      </c>
      <c r="B31" s="9">
        <f t="shared" si="0"/>
        <v>-16044744.137931049</v>
      </c>
      <c r="C31" s="9">
        <f t="shared" si="1"/>
        <v>37931034.482758626</v>
      </c>
      <c r="D31" s="9">
        <f t="shared" si="2"/>
        <v>-53975778.620689675</v>
      </c>
      <c r="E31" s="9">
        <f t="shared" si="5"/>
        <v>-416801379.31034499</v>
      </c>
      <c r="F31" s="9" t="str">
        <f t="shared" ca="1" si="3"/>
        <v/>
      </c>
      <c r="G31" s="9"/>
      <c r="H31" s="10">
        <f t="shared" si="4"/>
        <v>948.27586206896592</v>
      </c>
    </row>
    <row r="32" spans="1:8" x14ac:dyDescent="0.3">
      <c r="A32" s="5">
        <v>13</v>
      </c>
      <c r="B32" s="6">
        <f t="shared" si="0"/>
        <v>-20956813.103448294</v>
      </c>
      <c r="C32" s="6">
        <f t="shared" si="1"/>
        <v>37931034.482758626</v>
      </c>
      <c r="D32" s="6">
        <f t="shared" si="2"/>
        <v>-58887847.58620692</v>
      </c>
      <c r="E32" s="6">
        <f t="shared" si="5"/>
        <v>-454732413.79310364</v>
      </c>
      <c r="F32" s="6" t="str">
        <f t="shared" ca="1" si="3"/>
        <v/>
      </c>
      <c r="G32" s="6"/>
      <c r="H32" s="7">
        <f t="shared" si="4"/>
        <v>1034.48275862069</v>
      </c>
    </row>
    <row r="33" spans="1:8" x14ac:dyDescent="0.3">
      <c r="A33" s="8">
        <v>14</v>
      </c>
      <c r="B33" s="9">
        <f t="shared" si="0"/>
        <v>-25868882.068965539</v>
      </c>
      <c r="C33" s="9">
        <f t="shared" si="1"/>
        <v>37931034.482758626</v>
      </c>
      <c r="D33" s="9">
        <f t="shared" si="2"/>
        <v>-63799916.551724166</v>
      </c>
      <c r="E33" s="9">
        <f t="shared" si="5"/>
        <v>-492663448.27586228</v>
      </c>
      <c r="F33" s="9" t="str">
        <f t="shared" ca="1" si="3"/>
        <v/>
      </c>
      <c r="G33" s="9"/>
      <c r="H33" s="10">
        <f t="shared" si="4"/>
        <v>1120.6896551724142</v>
      </c>
    </row>
    <row r="34" spans="1:8" x14ac:dyDescent="0.3">
      <c r="A34" s="5">
        <v>15</v>
      </c>
      <c r="B34" s="6">
        <f t="shared" si="0"/>
        <v>-30780951.034482792</v>
      </c>
      <c r="C34" s="6">
        <f t="shared" si="1"/>
        <v>37931034.482758626</v>
      </c>
      <c r="D34" s="6">
        <f t="shared" si="2"/>
        <v>-68711985.517241418</v>
      </c>
      <c r="E34" s="6">
        <f t="shared" si="5"/>
        <v>-530594482.75862092</v>
      </c>
      <c r="F34" s="6" t="str">
        <f t="shared" ca="1" si="3"/>
        <v/>
      </c>
      <c r="G34" s="6"/>
      <c r="H34" s="7">
        <f t="shared" si="4"/>
        <v>1206.8965517241384</v>
      </c>
    </row>
    <row r="35" spans="1:8" x14ac:dyDescent="0.3">
      <c r="A35" s="8">
        <v>16</v>
      </c>
      <c r="B35" s="9">
        <f t="shared" si="0"/>
        <v>-35693020.000000015</v>
      </c>
      <c r="C35" s="9">
        <f t="shared" si="1"/>
        <v>37931034.482758626</v>
      </c>
      <c r="D35" s="9">
        <f t="shared" si="2"/>
        <v>-73624054.482758641</v>
      </c>
      <c r="E35" s="9">
        <f t="shared" si="5"/>
        <v>-568525517.2413795</v>
      </c>
      <c r="F35" s="9" t="str">
        <f t="shared" ca="1" si="3"/>
        <v/>
      </c>
      <c r="G35" s="9"/>
      <c r="H35" s="10">
        <f t="shared" si="4"/>
        <v>1293.1034482758625</v>
      </c>
    </row>
    <row r="36" spans="1:8" x14ac:dyDescent="0.3">
      <c r="A36" s="5">
        <v>17</v>
      </c>
      <c r="B36" s="6">
        <f t="shared" si="0"/>
        <v>-40605088.965517268</v>
      </c>
      <c r="C36" s="6">
        <f t="shared" si="1"/>
        <v>37931034.482758626</v>
      </c>
      <c r="D36" s="6">
        <f t="shared" si="2"/>
        <v>-78536123.448275894</v>
      </c>
      <c r="E36" s="6">
        <f t="shared" si="5"/>
        <v>-606456551.72413814</v>
      </c>
      <c r="F36" s="6" t="str">
        <f t="shared" ca="1" si="3"/>
        <v/>
      </c>
      <c r="G36" s="6"/>
      <c r="H36" s="7">
        <f t="shared" si="4"/>
        <v>1379.3103448275867</v>
      </c>
    </row>
    <row r="37" spans="1:8" x14ac:dyDescent="0.3">
      <c r="A37" s="8">
        <v>18</v>
      </c>
      <c r="B37" s="9">
        <f t="shared" si="0"/>
        <v>-45517157.931034505</v>
      </c>
      <c r="C37" s="9">
        <f t="shared" si="1"/>
        <v>37931034.482758626</v>
      </c>
      <c r="D37" s="9">
        <f t="shared" si="2"/>
        <v>-83448192.413793132</v>
      </c>
      <c r="E37" s="9">
        <f t="shared" si="5"/>
        <v>-644387586.20689678</v>
      </c>
      <c r="F37" s="9" t="str">
        <f t="shared" ca="1" si="3"/>
        <v/>
      </c>
      <c r="G37" s="9"/>
      <c r="H37" s="10">
        <f t="shared" si="4"/>
        <v>1465.5172413793109</v>
      </c>
    </row>
    <row r="38" spans="1:8" x14ac:dyDescent="0.3">
      <c r="A38" s="5">
        <v>19</v>
      </c>
      <c r="B38" s="6">
        <f t="shared" si="0"/>
        <v>-50429226.896551758</v>
      </c>
      <c r="C38" s="6">
        <f t="shared" si="1"/>
        <v>37931034.482758626</v>
      </c>
      <c r="D38" s="6">
        <f t="shared" si="2"/>
        <v>-88360261.379310384</v>
      </c>
      <c r="E38" s="6">
        <f t="shared" si="5"/>
        <v>-682318620.68965542</v>
      </c>
      <c r="F38" s="6" t="str">
        <f t="shared" ca="1" si="3"/>
        <v/>
      </c>
      <c r="G38" s="6"/>
      <c r="H38" s="7">
        <f t="shared" si="4"/>
        <v>1551.7241379310351</v>
      </c>
    </row>
    <row r="39" spans="1:8" x14ac:dyDescent="0.3">
      <c r="A39" s="8">
        <v>20</v>
      </c>
      <c r="B39" s="9">
        <f t="shared" si="0"/>
        <v>-55341295.862068996</v>
      </c>
      <c r="C39" s="9">
        <f t="shared" si="1"/>
        <v>37931034.482758626</v>
      </c>
      <c r="D39" s="9">
        <f t="shared" si="2"/>
        <v>-93272330.344827622</v>
      </c>
      <c r="E39" s="9">
        <f t="shared" si="5"/>
        <v>-720249655.17241406</v>
      </c>
      <c r="F39" s="9" t="str">
        <f t="shared" ca="1" si="3"/>
        <v/>
      </c>
      <c r="G39" s="9"/>
      <c r="H39" s="10">
        <f t="shared" si="4"/>
        <v>1637.9310344827593</v>
      </c>
    </row>
    <row r="40" spans="1:8" x14ac:dyDescent="0.3">
      <c r="A40" s="5">
        <v>21</v>
      </c>
      <c r="B40" s="6">
        <f t="shared" si="0"/>
        <v>-60253364.827586249</v>
      </c>
      <c r="C40" s="6">
        <f t="shared" si="1"/>
        <v>37931034.482758626</v>
      </c>
      <c r="D40" s="6">
        <f t="shared" si="2"/>
        <v>-98184399.310344875</v>
      </c>
      <c r="E40" s="6">
        <f t="shared" si="5"/>
        <v>-758180689.65517271</v>
      </c>
      <c r="F40" s="6" t="str">
        <f t="shared" ca="1" si="3"/>
        <v/>
      </c>
      <c r="G40" s="6"/>
      <c r="H40" s="7">
        <f t="shared" si="4"/>
        <v>1724.1379310344835</v>
      </c>
    </row>
    <row r="41" spans="1:8" x14ac:dyDescent="0.3">
      <c r="A41" s="8">
        <v>22</v>
      </c>
      <c r="B41" s="9">
        <f t="shared" si="0"/>
        <v>-65165433.793103486</v>
      </c>
      <c r="C41" s="9">
        <f t="shared" si="1"/>
        <v>37931034.482758626</v>
      </c>
      <c r="D41" s="9">
        <f t="shared" si="2"/>
        <v>-103096468.27586211</v>
      </c>
      <c r="E41" s="9">
        <f t="shared" si="5"/>
        <v>-796111724.13793135</v>
      </c>
      <c r="F41" s="9" t="str">
        <f t="shared" ca="1" si="3"/>
        <v/>
      </c>
      <c r="G41" s="9"/>
      <c r="H41" s="10">
        <f t="shared" si="4"/>
        <v>1810.3448275862077</v>
      </c>
    </row>
    <row r="42" spans="1:8" x14ac:dyDescent="0.3">
      <c r="A42" s="5">
        <v>23</v>
      </c>
      <c r="B42" s="6">
        <f t="shared" si="0"/>
        <v>-70077502.758620724</v>
      </c>
      <c r="C42" s="6">
        <f t="shared" si="1"/>
        <v>37931034.482758626</v>
      </c>
      <c r="D42" s="6">
        <f t="shared" si="2"/>
        <v>-108008537.24137935</v>
      </c>
      <c r="E42" s="6">
        <f t="shared" si="5"/>
        <v>-834042758.62068999</v>
      </c>
      <c r="F42" s="6" t="str">
        <f t="shared" ca="1" si="3"/>
        <v/>
      </c>
      <c r="G42" s="6"/>
      <c r="H42" s="7">
        <f t="shared" si="4"/>
        <v>1896.5517241379318</v>
      </c>
    </row>
    <row r="43" spans="1:8" x14ac:dyDescent="0.3">
      <c r="A43" s="8">
        <v>24</v>
      </c>
      <c r="B43" s="9">
        <f t="shared" si="0"/>
        <v>-74989571.724137977</v>
      </c>
      <c r="C43" s="9">
        <f t="shared" si="1"/>
        <v>37931034.482758626</v>
      </c>
      <c r="D43" s="9">
        <f t="shared" si="2"/>
        <v>-112920606.2068966</v>
      </c>
      <c r="E43" s="9">
        <f t="shared" si="5"/>
        <v>-871973793.10344863</v>
      </c>
      <c r="F43" s="9" t="str">
        <f t="shared" ca="1" si="3"/>
        <v/>
      </c>
      <c r="G43" s="9"/>
      <c r="H43" s="10">
        <f t="shared" si="4"/>
        <v>1982.758620689656</v>
      </c>
    </row>
    <row r="44" spans="1:8" x14ac:dyDescent="0.3">
      <c r="A44" s="5">
        <v>25</v>
      </c>
      <c r="B44" s="6">
        <f t="shared" si="0"/>
        <v>-79901640.689655215</v>
      </c>
      <c r="C44" s="6">
        <f t="shared" si="1"/>
        <v>37931034.482758626</v>
      </c>
      <c r="D44" s="6">
        <f t="shared" si="2"/>
        <v>-117832675.17241384</v>
      </c>
      <c r="E44" s="6">
        <f t="shared" si="5"/>
        <v>-909904827.58620727</v>
      </c>
      <c r="F44" s="6" t="str">
        <f t="shared" ca="1" si="3"/>
        <v/>
      </c>
      <c r="G44" s="6"/>
      <c r="H44" s="7">
        <f t="shared" si="4"/>
        <v>2068.96551724138</v>
      </c>
    </row>
    <row r="45" spans="1:8" x14ac:dyDescent="0.3">
      <c r="A45" s="8">
        <v>26</v>
      </c>
      <c r="B45" s="9">
        <f t="shared" si="0"/>
        <v>-84813709.655172467</v>
      </c>
      <c r="C45" s="9">
        <f t="shared" si="1"/>
        <v>37931034.482758626</v>
      </c>
      <c r="D45" s="9">
        <f t="shared" si="2"/>
        <v>-122744744.13793109</v>
      </c>
      <c r="E45" s="9">
        <f t="shared" si="5"/>
        <v>-947835862.06896591</v>
      </c>
      <c r="F45" s="9" t="str">
        <f t="shared" ca="1" si="3"/>
        <v/>
      </c>
      <c r="G45" s="9"/>
      <c r="H45" s="10">
        <f t="shared" si="4"/>
        <v>2155.1724137931042</v>
      </c>
    </row>
    <row r="46" spans="1:8" x14ac:dyDescent="0.3">
      <c r="A46" s="5">
        <v>27</v>
      </c>
      <c r="B46" s="6">
        <f t="shared" si="0"/>
        <v>-89725778.620689705</v>
      </c>
      <c r="C46" s="6">
        <f t="shared" si="1"/>
        <v>37931034.482758626</v>
      </c>
      <c r="D46" s="6">
        <f t="shared" si="2"/>
        <v>-127656813.10344833</v>
      </c>
      <c r="E46" s="6">
        <f t="shared" si="5"/>
        <v>-985766896.55172455</v>
      </c>
      <c r="F46" s="6" t="str">
        <f t="shared" ca="1" si="3"/>
        <v/>
      </c>
      <c r="G46" s="6"/>
      <c r="H46" s="7">
        <f t="shared" si="4"/>
        <v>2241.3793103448284</v>
      </c>
    </row>
    <row r="47" spans="1:8" x14ac:dyDescent="0.3">
      <c r="A47" s="8">
        <v>28</v>
      </c>
      <c r="B47" s="9">
        <f t="shared" si="0"/>
        <v>-94637847.586206958</v>
      </c>
      <c r="C47" s="9">
        <f t="shared" si="1"/>
        <v>37931034.482758626</v>
      </c>
      <c r="D47" s="9">
        <f t="shared" si="2"/>
        <v>-132568882.06896558</v>
      </c>
      <c r="E47" s="9">
        <f t="shared" si="5"/>
        <v>-1023697931.0344832</v>
      </c>
      <c r="F47" s="9" t="str">
        <f t="shared" ca="1" si="3"/>
        <v/>
      </c>
      <c r="G47" s="9"/>
      <c r="H47" s="10">
        <f t="shared" si="4"/>
        <v>2327.5862068965525</v>
      </c>
    </row>
    <row r="48" spans="1:8" x14ac:dyDescent="0.3">
      <c r="A48" s="5">
        <v>29</v>
      </c>
      <c r="B48" s="6">
        <f t="shared" si="0"/>
        <v>-99549916.55172421</v>
      </c>
      <c r="C48" s="6">
        <f t="shared" si="1"/>
        <v>37931034.482758626</v>
      </c>
      <c r="D48" s="6">
        <f t="shared" si="2"/>
        <v>-137480951.03448284</v>
      </c>
      <c r="E48" s="6">
        <f t="shared" si="5"/>
        <v>-1061628965.5172418</v>
      </c>
      <c r="F48" s="6" t="str">
        <f t="shared" ca="1" si="3"/>
        <v/>
      </c>
      <c r="G48" s="6"/>
      <c r="H48" s="7">
        <f t="shared" si="4"/>
        <v>2413.7931034482767</v>
      </c>
    </row>
    <row r="49" spans="1:8" x14ac:dyDescent="0.3">
      <c r="A49" s="8">
        <v>30</v>
      </c>
      <c r="B49" s="9">
        <f t="shared" si="0"/>
        <v>-104461985.51724143</v>
      </c>
      <c r="C49" s="9">
        <f t="shared" si="1"/>
        <v>37931034.482758626</v>
      </c>
      <c r="D49" s="9">
        <f t="shared" si="2"/>
        <v>-142393020.00000006</v>
      </c>
      <c r="E49" s="9">
        <f t="shared" si="5"/>
        <v>-1099560000.0000005</v>
      </c>
      <c r="F49" s="9" t="str">
        <f t="shared" ca="1" si="3"/>
        <v/>
      </c>
      <c r="G49" s="9"/>
      <c r="H49" s="10">
        <f t="shared" si="4"/>
        <v>2500.0000000000009</v>
      </c>
    </row>
    <row r="50" spans="1:8" x14ac:dyDescent="0.3">
      <c r="A50" s="5">
        <v>31</v>
      </c>
      <c r="B50" s="6">
        <f t="shared" si="0"/>
        <v>-109374054.48275866</v>
      </c>
      <c r="C50" s="6">
        <f t="shared" si="1"/>
        <v>37931034.482758626</v>
      </c>
      <c r="D50" s="6">
        <f t="shared" si="2"/>
        <v>-147305088.96551728</v>
      </c>
      <c r="E50" s="6">
        <f t="shared" si="5"/>
        <v>-1137491034.482759</v>
      </c>
      <c r="F50" s="6" t="str">
        <f t="shared" ca="1" si="3"/>
        <v/>
      </c>
      <c r="G50" s="6"/>
      <c r="H50" s="7">
        <f t="shared" si="4"/>
        <v>2586.2068965517251</v>
      </c>
    </row>
    <row r="51" spans="1:8" x14ac:dyDescent="0.3">
      <c r="A51" s="8">
        <v>32</v>
      </c>
      <c r="B51" s="9">
        <f t="shared" si="0"/>
        <v>-114286123.44827591</v>
      </c>
      <c r="C51" s="9">
        <f t="shared" si="1"/>
        <v>37931034.482758626</v>
      </c>
      <c r="D51" s="9">
        <f t="shared" si="2"/>
        <v>-152217157.93103454</v>
      </c>
      <c r="E51" s="9">
        <f t="shared" si="5"/>
        <v>-1175422068.9655175</v>
      </c>
      <c r="F51" s="9" t="str">
        <f t="shared" ca="1" si="3"/>
        <v/>
      </c>
      <c r="G51" s="9"/>
      <c r="H51" s="10">
        <f t="shared" si="4"/>
        <v>2672.4137931034488</v>
      </c>
    </row>
    <row r="52" spans="1:8" x14ac:dyDescent="0.3">
      <c r="A52" s="5">
        <v>33</v>
      </c>
      <c r="B52" s="6">
        <f t="shared" si="0"/>
        <v>-119198192.41379313</v>
      </c>
      <c r="C52" s="6">
        <f t="shared" si="1"/>
        <v>37931034.482758626</v>
      </c>
      <c r="D52" s="6">
        <f t="shared" si="2"/>
        <v>-157129226.89655176</v>
      </c>
      <c r="E52" s="6">
        <f t="shared" si="5"/>
        <v>-1213353103.448276</v>
      </c>
      <c r="F52" s="6" t="str">
        <f t="shared" ca="1" si="3"/>
        <v/>
      </c>
      <c r="G52" s="6"/>
      <c r="H52" s="7">
        <f t="shared" si="4"/>
        <v>2758.620689655173</v>
      </c>
    </row>
    <row r="53" spans="1:8" x14ac:dyDescent="0.3">
      <c r="A53" s="8">
        <v>34</v>
      </c>
      <c r="B53" s="9">
        <f t="shared" si="0"/>
        <v>-124110261.37931035</v>
      </c>
      <c r="C53" s="9">
        <f t="shared" si="1"/>
        <v>37931034.482758626</v>
      </c>
      <c r="D53" s="9">
        <f t="shared" si="2"/>
        <v>-162041295.86206898</v>
      </c>
      <c r="E53" s="9">
        <f t="shared" si="5"/>
        <v>-1251284137.9310346</v>
      </c>
      <c r="F53" s="9" t="str">
        <f t="shared" ca="1" si="3"/>
        <v/>
      </c>
      <c r="G53" s="9"/>
      <c r="H53" s="10">
        <f t="shared" si="4"/>
        <v>2844.8275862068967</v>
      </c>
    </row>
    <row r="54" spans="1:8" x14ac:dyDescent="0.3">
      <c r="A54" s="5">
        <v>35</v>
      </c>
      <c r="B54" s="6">
        <f t="shared" si="0"/>
        <v>-129022330.34482758</v>
      </c>
      <c r="C54" s="6">
        <f t="shared" si="1"/>
        <v>37931034.482758626</v>
      </c>
      <c r="D54" s="6">
        <f t="shared" si="2"/>
        <v>-166953364.8275862</v>
      </c>
      <c r="E54" s="6">
        <f t="shared" si="5"/>
        <v>-1289215172.4137931</v>
      </c>
      <c r="F54" s="6" t="str">
        <f t="shared" ca="1" si="3"/>
        <v/>
      </c>
      <c r="G54" s="6"/>
      <c r="H54" s="7">
        <f t="shared" si="4"/>
        <v>2931.0344827586205</v>
      </c>
    </row>
    <row r="55" spans="1:8" x14ac:dyDescent="0.3">
      <c r="A55" s="8">
        <v>36</v>
      </c>
      <c r="B55" s="9">
        <f t="shared" si="0"/>
        <v>-133934399.3103448</v>
      </c>
      <c r="C55" s="9">
        <f t="shared" si="1"/>
        <v>37931034.482758626</v>
      </c>
      <c r="D55" s="9">
        <f t="shared" si="2"/>
        <v>-171865433.79310343</v>
      </c>
      <c r="E55" s="9">
        <f t="shared" si="5"/>
        <v>-1327146206.8965516</v>
      </c>
      <c r="F55" s="9" t="str">
        <f t="shared" ca="1" si="3"/>
        <v/>
      </c>
      <c r="G55" s="9"/>
      <c r="H55" s="10">
        <f t="shared" si="4"/>
        <v>3017.2413793103447</v>
      </c>
    </row>
    <row r="56" spans="1:8" x14ac:dyDescent="0.3">
      <c r="A56" s="5">
        <v>37</v>
      </c>
      <c r="B56" s="6">
        <f t="shared" si="0"/>
        <v>-138846468.27586204</v>
      </c>
      <c r="C56" s="6">
        <f t="shared" si="1"/>
        <v>37931034.482758626</v>
      </c>
      <c r="D56" s="6">
        <f t="shared" si="2"/>
        <v>-176777502.75862068</v>
      </c>
      <c r="E56" s="6">
        <f t="shared" si="5"/>
        <v>-1365077241.3793101</v>
      </c>
      <c r="F56" s="6" t="str">
        <f t="shared" ca="1" si="3"/>
        <v/>
      </c>
      <c r="G56" s="6"/>
      <c r="H56" s="7">
        <f t="shared" si="4"/>
        <v>3103.4482758620684</v>
      </c>
    </row>
    <row r="57" spans="1:8" x14ac:dyDescent="0.3">
      <c r="A57" s="8">
        <v>38</v>
      </c>
      <c r="B57" s="9">
        <f t="shared" si="0"/>
        <v>-143758537.24137926</v>
      </c>
      <c r="C57" s="9">
        <f t="shared" si="1"/>
        <v>37931034.482758626</v>
      </c>
      <c r="D57" s="9">
        <f t="shared" si="2"/>
        <v>-181689571.7241379</v>
      </c>
      <c r="E57" s="9">
        <f t="shared" si="5"/>
        <v>-1403008275.8620687</v>
      </c>
      <c r="F57" s="9" t="str">
        <f t="shared" ca="1" si="3"/>
        <v/>
      </c>
      <c r="G57" s="9"/>
      <c r="H57" s="10">
        <f t="shared" si="4"/>
        <v>3189.6551724137926</v>
      </c>
    </row>
    <row r="58" spans="1:8" x14ac:dyDescent="0.3">
      <c r="A58" s="5">
        <v>39</v>
      </c>
      <c r="B58" s="6">
        <f t="shared" si="0"/>
        <v>-148670606.20689648</v>
      </c>
      <c r="C58" s="6">
        <f t="shared" si="1"/>
        <v>37931034.482758626</v>
      </c>
      <c r="D58" s="6">
        <f t="shared" si="2"/>
        <v>-186601640.68965513</v>
      </c>
      <c r="E58" s="6">
        <f t="shared" si="5"/>
        <v>-1440939310.3448272</v>
      </c>
      <c r="F58" s="6" t="str">
        <f t="shared" ca="1" si="3"/>
        <v/>
      </c>
      <c r="G58" s="6"/>
      <c r="H58" s="7">
        <f t="shared" si="4"/>
        <v>3275.8620689655163</v>
      </c>
    </row>
    <row r="59" spans="1:8" x14ac:dyDescent="0.3">
      <c r="A59" s="8">
        <v>40</v>
      </c>
      <c r="B59" s="9">
        <f t="shared" si="0"/>
        <v>-153582675.17241371</v>
      </c>
      <c r="C59" s="9">
        <f t="shared" si="1"/>
        <v>37931034.482758626</v>
      </c>
      <c r="D59" s="9">
        <f t="shared" si="2"/>
        <v>-191513709.65517235</v>
      </c>
      <c r="E59" s="9">
        <f t="shared" si="5"/>
        <v>-1478870344.8275857</v>
      </c>
      <c r="F59" s="9" t="str">
        <f t="shared" ca="1" si="3"/>
        <v/>
      </c>
      <c r="G59" s="9"/>
      <c r="H59" s="10">
        <f t="shared" si="4"/>
        <v>3362.06896551724</v>
      </c>
    </row>
    <row r="60" spans="1:8" x14ac:dyDescent="0.3">
      <c r="A60" s="5">
        <v>41</v>
      </c>
      <c r="B60" s="6">
        <f t="shared" si="0"/>
        <v>-158494744.13793093</v>
      </c>
      <c r="C60" s="6">
        <f t="shared" si="1"/>
        <v>37931034.482758626</v>
      </c>
      <c r="D60" s="6">
        <f t="shared" si="2"/>
        <v>-196425778.62068957</v>
      </c>
      <c r="E60" s="6">
        <f t="shared" si="5"/>
        <v>-1516801379.3103442</v>
      </c>
      <c r="F60" s="6" t="str">
        <f t="shared" ca="1" si="3"/>
        <v/>
      </c>
      <c r="G60" s="6"/>
      <c r="H60" s="7">
        <f t="shared" si="4"/>
        <v>3448.2758620689642</v>
      </c>
    </row>
    <row r="61" spans="1:8" x14ac:dyDescent="0.3">
      <c r="A61" s="8">
        <v>42</v>
      </c>
      <c r="B61" s="9">
        <f t="shared" si="0"/>
        <v>-163406813.10344821</v>
      </c>
      <c r="C61" s="9">
        <f t="shared" si="1"/>
        <v>37931034.482758626</v>
      </c>
      <c r="D61" s="9">
        <f t="shared" si="2"/>
        <v>-201337847.58620682</v>
      </c>
      <c r="E61" s="9">
        <f t="shared" si="5"/>
        <v>-1554732413.7931027</v>
      </c>
      <c r="F61" s="9" t="str">
        <f t="shared" ca="1" si="3"/>
        <v/>
      </c>
      <c r="G61" s="9"/>
      <c r="H61" s="10">
        <f t="shared" si="4"/>
        <v>3534.4827586206879</v>
      </c>
    </row>
    <row r="62" spans="1:8" x14ac:dyDescent="0.3">
      <c r="A62" s="5">
        <v>43</v>
      </c>
      <c r="B62" s="6">
        <f t="shared" si="0"/>
        <v>-168318882.06896544</v>
      </c>
      <c r="C62" s="6">
        <f t="shared" si="1"/>
        <v>37931034.482758626</v>
      </c>
      <c r="D62" s="6">
        <f t="shared" si="2"/>
        <v>-206249916.55172405</v>
      </c>
      <c r="E62" s="6">
        <f t="shared" si="5"/>
        <v>-1592663448.2758613</v>
      </c>
      <c r="F62" s="6" t="str">
        <f t="shared" ca="1" si="3"/>
        <v/>
      </c>
      <c r="G62" s="6"/>
      <c r="H62" s="7">
        <f t="shared" si="4"/>
        <v>3620.6896551724121</v>
      </c>
    </row>
    <row r="63" spans="1:8" x14ac:dyDescent="0.3">
      <c r="A63" s="8">
        <v>44</v>
      </c>
      <c r="B63" s="9">
        <f t="shared" si="0"/>
        <v>-173230951.03448266</v>
      </c>
      <c r="C63" s="9">
        <f t="shared" si="1"/>
        <v>37931034.482758626</v>
      </c>
      <c r="D63" s="9">
        <f t="shared" si="2"/>
        <v>-211161985.51724127</v>
      </c>
      <c r="E63" s="9">
        <f t="shared" si="5"/>
        <v>-1630594482.7586198</v>
      </c>
      <c r="F63" s="9" t="str">
        <f t="shared" ca="1" si="3"/>
        <v/>
      </c>
      <c r="G63" s="9"/>
      <c r="H63" s="10">
        <f t="shared" si="4"/>
        <v>3706.8965517241359</v>
      </c>
    </row>
    <row r="64" spans="1:8" x14ac:dyDescent="0.3">
      <c r="A64" s="5">
        <v>45</v>
      </c>
      <c r="B64" s="6">
        <f t="shared" si="0"/>
        <v>-178143019.99999988</v>
      </c>
      <c r="C64" s="6">
        <f t="shared" si="1"/>
        <v>37931034.482758626</v>
      </c>
      <c r="D64" s="6">
        <f t="shared" si="2"/>
        <v>-216074054.48275849</v>
      </c>
      <c r="E64" s="6">
        <f t="shared" si="5"/>
        <v>-1668525517.2413783</v>
      </c>
      <c r="F64" s="6" t="str">
        <f t="shared" ca="1" si="3"/>
        <v/>
      </c>
      <c r="G64" s="6"/>
      <c r="H64" s="7">
        <f t="shared" si="4"/>
        <v>3793.1034482758596</v>
      </c>
    </row>
    <row r="65" spans="1:8" x14ac:dyDescent="0.3">
      <c r="A65" s="8">
        <v>46</v>
      </c>
      <c r="B65" s="9">
        <f t="shared" si="0"/>
        <v>-183055088.9655171</v>
      </c>
      <c r="C65" s="9">
        <f t="shared" si="1"/>
        <v>37931034.482758626</v>
      </c>
      <c r="D65" s="9">
        <f t="shared" si="2"/>
        <v>-220986123.44827572</v>
      </c>
      <c r="E65" s="9">
        <f t="shared" si="5"/>
        <v>-1706456551.7241368</v>
      </c>
      <c r="F65" s="9" t="str">
        <f t="shared" ca="1" si="3"/>
        <v/>
      </c>
      <c r="G65" s="9"/>
      <c r="H65" s="10">
        <f t="shared" si="4"/>
        <v>3879.3103448275838</v>
      </c>
    </row>
    <row r="66" spans="1:8" x14ac:dyDescent="0.3">
      <c r="A66" s="5">
        <v>47</v>
      </c>
      <c r="B66" s="6">
        <f t="shared" si="0"/>
        <v>-187967157.93103433</v>
      </c>
      <c r="C66" s="6">
        <f t="shared" si="1"/>
        <v>37931034.482758626</v>
      </c>
      <c r="D66" s="6">
        <f t="shared" si="2"/>
        <v>-225898192.41379297</v>
      </c>
      <c r="E66" s="6">
        <f t="shared" si="5"/>
        <v>-1744387586.2068954</v>
      </c>
      <c r="F66" s="6" t="str">
        <f t="shared" ca="1" si="3"/>
        <v/>
      </c>
      <c r="G66" s="6"/>
      <c r="H66" s="7">
        <f t="shared" si="4"/>
        <v>3965.5172413793075</v>
      </c>
    </row>
    <row r="67" spans="1:8" x14ac:dyDescent="0.3">
      <c r="A67" s="8">
        <v>48</v>
      </c>
      <c r="B67" s="9">
        <f t="shared" si="0"/>
        <v>-192879226.89655155</v>
      </c>
      <c r="C67" s="9">
        <f t="shared" si="1"/>
        <v>37931034.482758626</v>
      </c>
      <c r="D67" s="9">
        <f t="shared" si="2"/>
        <v>-230810261.37931019</v>
      </c>
      <c r="E67" s="9">
        <f t="shared" si="5"/>
        <v>-1782318620.6896539</v>
      </c>
      <c r="F67" s="9" t="str">
        <f t="shared" ca="1" si="3"/>
        <v/>
      </c>
      <c r="G67" s="9"/>
      <c r="H67" s="10">
        <f t="shared" si="4"/>
        <v>4051.7241379310317</v>
      </c>
    </row>
    <row r="68" spans="1:8" x14ac:dyDescent="0.3">
      <c r="A68" s="5">
        <v>49</v>
      </c>
      <c r="B68" s="6">
        <f t="shared" si="0"/>
        <v>-197791295.86206877</v>
      </c>
      <c r="C68" s="6">
        <f t="shared" si="1"/>
        <v>37931034.482758626</v>
      </c>
      <c r="D68" s="6">
        <f t="shared" si="2"/>
        <v>-235722330.34482741</v>
      </c>
      <c r="E68" s="6">
        <f t="shared" si="5"/>
        <v>-1820249655.1724124</v>
      </c>
      <c r="F68" s="6" t="str">
        <f t="shared" ca="1" si="3"/>
        <v/>
      </c>
      <c r="G68" s="6"/>
      <c r="H68" s="7">
        <f t="shared" si="4"/>
        <v>4137.9310344827554</v>
      </c>
    </row>
    <row r="69" spans="1:8" x14ac:dyDescent="0.3">
      <c r="A69" s="8">
        <v>50</v>
      </c>
      <c r="B69" s="9">
        <f t="shared" si="0"/>
        <v>-202703364.827586</v>
      </c>
      <c r="C69" s="9">
        <f t="shared" si="1"/>
        <v>37931034.482758626</v>
      </c>
      <c r="D69" s="9">
        <f t="shared" si="2"/>
        <v>-240634399.31034464</v>
      </c>
      <c r="E69" s="9">
        <f t="shared" si="5"/>
        <v>-1858180689.6551709</v>
      </c>
      <c r="F69" s="9" t="str">
        <f t="shared" ca="1" si="3"/>
        <v/>
      </c>
      <c r="G69" s="9"/>
      <c r="H69" s="10">
        <f t="shared" si="4"/>
        <v>4224.1379310344792</v>
      </c>
    </row>
    <row r="70" spans="1:8" x14ac:dyDescent="0.3">
      <c r="A70" s="5">
        <v>51</v>
      </c>
      <c r="B70" s="6">
        <f t="shared" si="0"/>
        <v>-207615433.79310322</v>
      </c>
      <c r="C70" s="6">
        <f t="shared" si="1"/>
        <v>37931034.482758626</v>
      </c>
      <c r="D70" s="6">
        <f t="shared" si="2"/>
        <v>-245546468.27586186</v>
      </c>
      <c r="E70" s="6">
        <f t="shared" si="5"/>
        <v>-1896111724.1379294</v>
      </c>
      <c r="F70" s="6" t="str">
        <f t="shared" ca="1" si="3"/>
        <v/>
      </c>
      <c r="G70" s="6"/>
      <c r="H70" s="7">
        <f t="shared" si="4"/>
        <v>4310.3448275862029</v>
      </c>
    </row>
    <row r="71" spans="1:8" x14ac:dyDescent="0.3">
      <c r="A71" s="8">
        <v>52</v>
      </c>
      <c r="B71" s="9">
        <f t="shared" si="0"/>
        <v>-212527502.7586205</v>
      </c>
      <c r="C71" s="9">
        <f t="shared" si="1"/>
        <v>37931034.482758626</v>
      </c>
      <c r="D71" s="9">
        <f t="shared" si="2"/>
        <v>-250458537.24137911</v>
      </c>
      <c r="E71" s="9">
        <f t="shared" si="5"/>
        <v>-1934042758.620688</v>
      </c>
      <c r="F71" s="9" t="str">
        <f t="shared" ca="1" si="3"/>
        <v/>
      </c>
      <c r="G71" s="9"/>
      <c r="H71" s="10">
        <f t="shared" si="4"/>
        <v>4396.5517241379275</v>
      </c>
    </row>
    <row r="72" spans="1:8" x14ac:dyDescent="0.3">
      <c r="A72" s="5">
        <v>53</v>
      </c>
      <c r="B72" s="6">
        <f t="shared" si="0"/>
        <v>-217439571.72413772</v>
      </c>
      <c r="C72" s="6">
        <f t="shared" si="1"/>
        <v>37931034.482758626</v>
      </c>
      <c r="D72" s="6">
        <f t="shared" si="2"/>
        <v>-255370606.20689633</v>
      </c>
      <c r="E72" s="6">
        <f t="shared" si="5"/>
        <v>-1971973793.1034465</v>
      </c>
      <c r="F72" s="6" t="str">
        <f t="shared" ca="1" si="3"/>
        <v/>
      </c>
      <c r="G72" s="6"/>
      <c r="H72" s="7">
        <f t="shared" si="4"/>
        <v>4482.7586206896513</v>
      </c>
    </row>
    <row r="73" spans="1:8" x14ac:dyDescent="0.3">
      <c r="A73" s="8">
        <v>54</v>
      </c>
      <c r="B73" s="9">
        <f t="shared" si="0"/>
        <v>-222351640.68965495</v>
      </c>
      <c r="C73" s="9">
        <f t="shared" si="1"/>
        <v>37931034.482758626</v>
      </c>
      <c r="D73" s="9">
        <f t="shared" si="2"/>
        <v>-260282675.17241356</v>
      </c>
      <c r="E73" s="9">
        <f t="shared" si="5"/>
        <v>-2009904827.586205</v>
      </c>
      <c r="F73" s="9" t="str">
        <f t="shared" ca="1" si="3"/>
        <v/>
      </c>
      <c r="G73" s="9"/>
      <c r="H73" s="10">
        <f t="shared" si="4"/>
        <v>4568.965517241375</v>
      </c>
    </row>
    <row r="74" spans="1:8" x14ac:dyDescent="0.3">
      <c r="A74" s="5">
        <v>55</v>
      </c>
      <c r="B74" s="6">
        <f t="shared" si="0"/>
        <v>-227263709.65517217</v>
      </c>
      <c r="C74" s="6">
        <f t="shared" si="1"/>
        <v>37931034.482758626</v>
      </c>
      <c r="D74" s="6">
        <f t="shared" si="2"/>
        <v>-265194744.13793078</v>
      </c>
      <c r="E74" s="6">
        <f t="shared" si="5"/>
        <v>-2047835862.0689635</v>
      </c>
      <c r="F74" s="6" t="str">
        <f t="shared" ca="1" si="3"/>
        <v/>
      </c>
      <c r="G74" s="6"/>
      <c r="H74" s="7">
        <f t="shared" si="4"/>
        <v>4655.1724137930987</v>
      </c>
    </row>
    <row r="75" spans="1:8" x14ac:dyDescent="0.3">
      <c r="A75" s="8">
        <v>56</v>
      </c>
      <c r="B75" s="9">
        <f t="shared" si="0"/>
        <v>-232175778.62068939</v>
      </c>
      <c r="C75" s="9">
        <f t="shared" si="1"/>
        <v>37931034.482758626</v>
      </c>
      <c r="D75" s="9">
        <f t="shared" si="2"/>
        <v>-270106813.10344803</v>
      </c>
      <c r="E75" s="9">
        <f t="shared" si="5"/>
        <v>-2085766896.551722</v>
      </c>
      <c r="F75" s="9" t="str">
        <f t="shared" ca="1" si="3"/>
        <v/>
      </c>
      <c r="G75" s="9"/>
      <c r="H75" s="10">
        <f t="shared" si="4"/>
        <v>4741.3793103448224</v>
      </c>
    </row>
    <row r="76" spans="1:8" x14ac:dyDescent="0.3">
      <c r="A76" s="5">
        <v>57</v>
      </c>
      <c r="B76" s="6">
        <f t="shared" si="0"/>
        <v>-237087847.58620661</v>
      </c>
      <c r="C76" s="6">
        <f t="shared" si="1"/>
        <v>37931034.482758626</v>
      </c>
      <c r="D76" s="6">
        <f t="shared" si="2"/>
        <v>-275018882.06896526</v>
      </c>
      <c r="E76" s="6">
        <f t="shared" si="5"/>
        <v>-2123697931.0344806</v>
      </c>
      <c r="F76" s="6" t="str">
        <f t="shared" ca="1" si="3"/>
        <v/>
      </c>
      <c r="G76" s="6"/>
      <c r="H76" s="7">
        <f t="shared" si="4"/>
        <v>4827.5862068965471</v>
      </c>
    </row>
    <row r="77" spans="1:8" x14ac:dyDescent="0.3">
      <c r="A77" s="8">
        <v>58</v>
      </c>
      <c r="B77" s="9">
        <f t="shared" si="0"/>
        <v>-241999916.55172384</v>
      </c>
      <c r="C77" s="9">
        <f t="shared" si="1"/>
        <v>37931034.482758626</v>
      </c>
      <c r="D77" s="9">
        <f t="shared" si="2"/>
        <v>-279930951.03448248</v>
      </c>
      <c r="E77" s="9">
        <f t="shared" si="5"/>
        <v>-2161628965.5172391</v>
      </c>
      <c r="F77" s="9" t="str">
        <f t="shared" ca="1" si="3"/>
        <v/>
      </c>
      <c r="G77" s="9"/>
      <c r="H77" s="10">
        <f t="shared" si="4"/>
        <v>4913.7931034482708</v>
      </c>
    </row>
    <row r="78" spans="1:8" x14ac:dyDescent="0.3">
      <c r="A78" s="5">
        <v>59</v>
      </c>
      <c r="B78" s="6">
        <f t="shared" si="0"/>
        <v>-246911985.51724106</v>
      </c>
      <c r="C78" s="6">
        <f t="shared" si="1"/>
        <v>37931034.482758626</v>
      </c>
      <c r="D78" s="6">
        <f t="shared" si="2"/>
        <v>-284843019.9999997</v>
      </c>
      <c r="E78" s="6">
        <f t="shared" si="5"/>
        <v>-2199559999.9999976</v>
      </c>
      <c r="F78" s="6" t="str">
        <f t="shared" ca="1" si="3"/>
        <v/>
      </c>
      <c r="G78" s="6"/>
      <c r="H78" s="7">
        <f t="shared" si="4"/>
        <v>4999.9999999999945</v>
      </c>
    </row>
    <row r="79" spans="1:8" x14ac:dyDescent="0.3">
      <c r="A79" s="8">
        <v>60</v>
      </c>
      <c r="B79" s="9">
        <f t="shared" si="0"/>
        <v>-251824054.48275828</v>
      </c>
      <c r="C79" s="9">
        <f t="shared" si="1"/>
        <v>37931034.482758626</v>
      </c>
      <c r="D79" s="9">
        <f t="shared" si="2"/>
        <v>-289755088.96551692</v>
      </c>
      <c r="E79" s="9">
        <f t="shared" si="5"/>
        <v>-2237491034.4827561</v>
      </c>
      <c r="F79" s="9" t="str">
        <f t="shared" ca="1" si="3"/>
        <v/>
      </c>
      <c r="G79" s="9"/>
      <c r="H79" s="10">
        <f t="shared" si="4"/>
        <v>5086.2068965517183</v>
      </c>
    </row>
    <row r="80" spans="1:8" x14ac:dyDescent="0.3">
      <c r="A80" s="5">
        <v>61</v>
      </c>
      <c r="B80" s="6">
        <f t="shared" si="0"/>
        <v>-256736123.44827551</v>
      </c>
      <c r="C80" s="6">
        <f t="shared" si="1"/>
        <v>37931034.482758626</v>
      </c>
      <c r="D80" s="6">
        <f t="shared" si="2"/>
        <v>-294667157.93103415</v>
      </c>
      <c r="E80" s="6">
        <f t="shared" si="5"/>
        <v>-2275422068.9655147</v>
      </c>
      <c r="F80" s="6" t="str">
        <f t="shared" ca="1" si="3"/>
        <v/>
      </c>
      <c r="G80" s="6"/>
      <c r="H80" s="7">
        <f t="shared" si="4"/>
        <v>5172.413793103442</v>
      </c>
    </row>
    <row r="81" spans="1:8" x14ac:dyDescent="0.3">
      <c r="A81" s="8">
        <v>62</v>
      </c>
      <c r="B81" s="9">
        <f t="shared" si="0"/>
        <v>-261648192.41379273</v>
      </c>
      <c r="C81" s="9">
        <f t="shared" si="1"/>
        <v>37931034.482758626</v>
      </c>
      <c r="D81" s="9">
        <f t="shared" si="2"/>
        <v>-299579226.89655137</v>
      </c>
      <c r="E81" s="9">
        <f t="shared" si="5"/>
        <v>-2313353103.4482732</v>
      </c>
      <c r="F81" s="9" t="str">
        <f t="shared" ca="1" si="3"/>
        <v/>
      </c>
      <c r="G81" s="9"/>
      <c r="H81" s="10">
        <f t="shared" si="4"/>
        <v>5258.6206896551666</v>
      </c>
    </row>
    <row r="82" spans="1:8" x14ac:dyDescent="0.3">
      <c r="A82" s="5">
        <v>63</v>
      </c>
      <c r="B82" s="6">
        <f t="shared" si="0"/>
        <v>-266560261.37930995</v>
      </c>
      <c r="C82" s="6">
        <f t="shared" si="1"/>
        <v>37931034.482758626</v>
      </c>
      <c r="D82" s="6">
        <f t="shared" si="2"/>
        <v>-304491295.86206859</v>
      </c>
      <c r="E82" s="6">
        <f t="shared" si="5"/>
        <v>-2351284137.9310317</v>
      </c>
      <c r="F82" s="6" t="str">
        <f t="shared" ca="1" si="3"/>
        <v/>
      </c>
      <c r="G82" s="6"/>
      <c r="H82" s="7">
        <f t="shared" si="4"/>
        <v>5344.8275862068904</v>
      </c>
    </row>
    <row r="83" spans="1:8" x14ac:dyDescent="0.3">
      <c r="A83" s="8">
        <v>64</v>
      </c>
      <c r="B83" s="9">
        <f t="shared" si="0"/>
        <v>-271472330.34482718</v>
      </c>
      <c r="C83" s="9">
        <f t="shared" si="1"/>
        <v>37931034.482758626</v>
      </c>
      <c r="D83" s="9">
        <f t="shared" si="2"/>
        <v>-309403364.82758582</v>
      </c>
      <c r="E83" s="9">
        <f t="shared" si="5"/>
        <v>-2389215172.4137902</v>
      </c>
      <c r="F83" s="9" t="str">
        <f t="shared" ca="1" si="3"/>
        <v/>
      </c>
      <c r="G83" s="9"/>
      <c r="H83" s="10">
        <f t="shared" si="4"/>
        <v>5431.0344827586141</v>
      </c>
    </row>
    <row r="84" spans="1:8" x14ac:dyDescent="0.3">
      <c r="A84" s="5">
        <v>65</v>
      </c>
      <c r="B84" s="6">
        <f t="shared" ref="B84:B147" si="6">C84+D84</f>
        <v>-276384399.31034446</v>
      </c>
      <c r="C84" s="6">
        <f t="shared" ref="C84:C147" si="7">$B$8/$B$12</f>
        <v>37931034.482758626</v>
      </c>
      <c r="D84" s="6">
        <f t="shared" ref="D84:D147" si="8">E84*$B$15</f>
        <v>-314315433.7931031</v>
      </c>
      <c r="E84" s="6">
        <f t="shared" si="5"/>
        <v>-2427146206.8965487</v>
      </c>
      <c r="F84" s="6" t="str">
        <f t="shared" ref="F84:F147" ca="1" si="9">B84*(1+$B$14)</f>
        <v/>
      </c>
      <c r="G84" s="6"/>
      <c r="H84" s="7">
        <f t="shared" ref="H84:H147" si="10">1-E84/$B$8</f>
        <v>5517.2413793103378</v>
      </c>
    </row>
    <row r="85" spans="1:8" x14ac:dyDescent="0.3">
      <c r="A85" s="8">
        <v>66</v>
      </c>
      <c r="B85" s="9">
        <f t="shared" si="6"/>
        <v>-281296468.27586168</v>
      </c>
      <c r="C85" s="9">
        <f t="shared" si="7"/>
        <v>37931034.482758626</v>
      </c>
      <c r="D85" s="9">
        <f t="shared" si="8"/>
        <v>-319227502.75862032</v>
      </c>
      <c r="E85" s="9">
        <f t="shared" ref="E85:E148" si="11">E84-C85</f>
        <v>-2465077241.3793073</v>
      </c>
      <c r="F85" s="9" t="str">
        <f t="shared" ca="1" si="9"/>
        <v/>
      </c>
      <c r="G85" s="9"/>
      <c r="H85" s="10">
        <f t="shared" si="10"/>
        <v>5603.4482758620616</v>
      </c>
    </row>
    <row r="86" spans="1:8" x14ac:dyDescent="0.3">
      <c r="A86" s="5">
        <v>67</v>
      </c>
      <c r="B86" s="6">
        <f t="shared" si="6"/>
        <v>-286208537.2413789</v>
      </c>
      <c r="C86" s="6">
        <f t="shared" si="7"/>
        <v>37931034.482758626</v>
      </c>
      <c r="D86" s="6">
        <f t="shared" si="8"/>
        <v>-324139571.72413754</v>
      </c>
      <c r="E86" s="6">
        <f t="shared" si="11"/>
        <v>-2503008275.8620658</v>
      </c>
      <c r="F86" s="6" t="str">
        <f t="shared" ca="1" si="9"/>
        <v/>
      </c>
      <c r="G86" s="6"/>
      <c r="H86" s="7">
        <f t="shared" si="10"/>
        <v>5689.6551724137862</v>
      </c>
    </row>
    <row r="87" spans="1:8" x14ac:dyDescent="0.3">
      <c r="A87" s="8">
        <v>68</v>
      </c>
      <c r="B87" s="9">
        <f t="shared" si="6"/>
        <v>-291120606.20689613</v>
      </c>
      <c r="C87" s="9">
        <f t="shared" si="7"/>
        <v>37931034.482758626</v>
      </c>
      <c r="D87" s="9">
        <f t="shared" si="8"/>
        <v>-329051640.68965477</v>
      </c>
      <c r="E87" s="9">
        <f t="shared" si="11"/>
        <v>-2540939310.3448243</v>
      </c>
      <c r="F87" s="9" t="str">
        <f t="shared" ca="1" si="9"/>
        <v/>
      </c>
      <c r="G87" s="9"/>
      <c r="H87" s="10">
        <f t="shared" si="10"/>
        <v>5775.8620689655099</v>
      </c>
    </row>
    <row r="88" spans="1:8" x14ac:dyDescent="0.3">
      <c r="A88" s="5">
        <v>69</v>
      </c>
      <c r="B88" s="6">
        <f t="shared" si="6"/>
        <v>-296032675.17241335</v>
      </c>
      <c r="C88" s="6">
        <f t="shared" si="7"/>
        <v>37931034.482758626</v>
      </c>
      <c r="D88" s="6">
        <f t="shared" si="8"/>
        <v>-333963709.65517199</v>
      </c>
      <c r="E88" s="6">
        <f t="shared" si="11"/>
        <v>-2578870344.8275828</v>
      </c>
      <c r="F88" s="6" t="str">
        <f t="shared" ca="1" si="9"/>
        <v/>
      </c>
      <c r="G88" s="6"/>
      <c r="H88" s="7">
        <f t="shared" si="10"/>
        <v>5862.0689655172337</v>
      </c>
    </row>
    <row r="89" spans="1:8" x14ac:dyDescent="0.3">
      <c r="A89" s="8">
        <v>70</v>
      </c>
      <c r="B89" s="9">
        <f t="shared" si="6"/>
        <v>-300944744.13793057</v>
      </c>
      <c r="C89" s="9">
        <f t="shared" si="7"/>
        <v>37931034.482758626</v>
      </c>
      <c r="D89" s="9">
        <f t="shared" si="8"/>
        <v>-338875778.62068921</v>
      </c>
      <c r="E89" s="9">
        <f t="shared" si="11"/>
        <v>-2616801379.3103414</v>
      </c>
      <c r="F89" s="9" t="str">
        <f t="shared" ca="1" si="9"/>
        <v/>
      </c>
      <c r="G89" s="9"/>
      <c r="H89" s="10">
        <f t="shared" si="10"/>
        <v>5948.2758620689574</v>
      </c>
    </row>
    <row r="90" spans="1:8" x14ac:dyDescent="0.3">
      <c r="A90" s="5">
        <v>71</v>
      </c>
      <c r="B90" s="6">
        <f t="shared" si="6"/>
        <v>-305856813.10344779</v>
      </c>
      <c r="C90" s="6">
        <f t="shared" si="7"/>
        <v>37931034.482758626</v>
      </c>
      <c r="D90" s="6">
        <f t="shared" si="8"/>
        <v>-343787847.58620644</v>
      </c>
      <c r="E90" s="6">
        <f t="shared" si="11"/>
        <v>-2654732413.7930999</v>
      </c>
      <c r="F90" s="6" t="str">
        <f t="shared" ca="1" si="9"/>
        <v/>
      </c>
      <c r="G90" s="6"/>
      <c r="H90" s="7">
        <f t="shared" si="10"/>
        <v>6034.4827586206811</v>
      </c>
    </row>
    <row r="91" spans="1:8" x14ac:dyDescent="0.3">
      <c r="A91" s="8">
        <v>72</v>
      </c>
      <c r="B91" s="9">
        <f t="shared" si="6"/>
        <v>-310768882.06896502</v>
      </c>
      <c r="C91" s="9">
        <f t="shared" si="7"/>
        <v>37931034.482758626</v>
      </c>
      <c r="D91" s="9">
        <f t="shared" si="8"/>
        <v>-348699916.55172366</v>
      </c>
      <c r="E91" s="9">
        <f t="shared" si="11"/>
        <v>-2692663448.2758584</v>
      </c>
      <c r="F91" s="9" t="str">
        <f t="shared" ca="1" si="9"/>
        <v/>
      </c>
      <c r="G91" s="9"/>
      <c r="H91" s="10">
        <f t="shared" si="10"/>
        <v>6120.6896551724058</v>
      </c>
    </row>
    <row r="92" spans="1:8" x14ac:dyDescent="0.3">
      <c r="A92" s="5">
        <v>73</v>
      </c>
      <c r="B92" s="6">
        <f t="shared" si="6"/>
        <v>-315680951.03448224</v>
      </c>
      <c r="C92" s="6">
        <f t="shared" si="7"/>
        <v>37931034.482758626</v>
      </c>
      <c r="D92" s="6">
        <f t="shared" si="8"/>
        <v>-353611985.51724088</v>
      </c>
      <c r="E92" s="6">
        <f t="shared" si="11"/>
        <v>-2730594482.7586169</v>
      </c>
      <c r="F92" s="6" t="str">
        <f t="shared" ca="1" si="9"/>
        <v/>
      </c>
      <c r="G92" s="6"/>
      <c r="H92" s="7">
        <f t="shared" si="10"/>
        <v>6206.8965517241295</v>
      </c>
    </row>
    <row r="93" spans="1:8" x14ac:dyDescent="0.3">
      <c r="A93" s="8">
        <v>74</v>
      </c>
      <c r="B93" s="9">
        <f t="shared" si="6"/>
        <v>-320593019.99999946</v>
      </c>
      <c r="C93" s="9">
        <f t="shared" si="7"/>
        <v>37931034.482758626</v>
      </c>
      <c r="D93" s="9">
        <f t="shared" si="8"/>
        <v>-358524054.4827581</v>
      </c>
      <c r="E93" s="9">
        <f t="shared" si="11"/>
        <v>-2768525517.2413754</v>
      </c>
      <c r="F93" s="9" t="str">
        <f t="shared" ca="1" si="9"/>
        <v/>
      </c>
      <c r="G93" s="9"/>
      <c r="H93" s="10">
        <f t="shared" si="10"/>
        <v>6293.1034482758532</v>
      </c>
    </row>
    <row r="94" spans="1:8" x14ac:dyDescent="0.3">
      <c r="A94" s="5">
        <v>75</v>
      </c>
      <c r="B94" s="6">
        <f t="shared" si="6"/>
        <v>-325505088.96551675</v>
      </c>
      <c r="C94" s="6">
        <f t="shared" si="7"/>
        <v>37931034.482758626</v>
      </c>
      <c r="D94" s="6">
        <f t="shared" si="8"/>
        <v>-363436123.44827539</v>
      </c>
      <c r="E94" s="6">
        <f t="shared" si="11"/>
        <v>-2806456551.724134</v>
      </c>
      <c r="F94" s="6" t="str">
        <f t="shared" ca="1" si="9"/>
        <v/>
      </c>
      <c r="G94" s="6"/>
      <c r="H94" s="7">
        <f t="shared" si="10"/>
        <v>6379.310344827577</v>
      </c>
    </row>
    <row r="95" spans="1:8" x14ac:dyDescent="0.3">
      <c r="A95" s="8">
        <v>76</v>
      </c>
      <c r="B95" s="9">
        <f t="shared" si="6"/>
        <v>-330417157.93103397</v>
      </c>
      <c r="C95" s="9">
        <f t="shared" si="7"/>
        <v>37931034.482758626</v>
      </c>
      <c r="D95" s="9">
        <f t="shared" si="8"/>
        <v>-368348192.41379261</v>
      </c>
      <c r="E95" s="9">
        <f t="shared" si="11"/>
        <v>-2844387586.2068925</v>
      </c>
      <c r="F95" s="9" t="str">
        <f t="shared" ca="1" si="9"/>
        <v/>
      </c>
      <c r="G95" s="9"/>
      <c r="H95" s="10">
        <f t="shared" si="10"/>
        <v>6465.5172413793007</v>
      </c>
    </row>
    <row r="96" spans="1:8" x14ac:dyDescent="0.3">
      <c r="A96" s="5">
        <v>77</v>
      </c>
      <c r="B96" s="6">
        <f t="shared" si="6"/>
        <v>-335329226.89655119</v>
      </c>
      <c r="C96" s="6">
        <f t="shared" si="7"/>
        <v>37931034.482758626</v>
      </c>
      <c r="D96" s="6">
        <f t="shared" si="8"/>
        <v>-373260261.37930983</v>
      </c>
      <c r="E96" s="6">
        <f t="shared" si="11"/>
        <v>-2882318620.689651</v>
      </c>
      <c r="F96" s="6" t="str">
        <f t="shared" ca="1" si="9"/>
        <v/>
      </c>
      <c r="G96" s="6"/>
      <c r="H96" s="7">
        <f t="shared" si="10"/>
        <v>6551.7241379310253</v>
      </c>
    </row>
    <row r="97" spans="1:8" x14ac:dyDescent="0.3">
      <c r="A97" s="8">
        <v>78</v>
      </c>
      <c r="B97" s="9">
        <f t="shared" si="6"/>
        <v>-340241295.86206841</v>
      </c>
      <c r="C97" s="9">
        <f t="shared" si="7"/>
        <v>37931034.482758626</v>
      </c>
      <c r="D97" s="9">
        <f t="shared" si="8"/>
        <v>-378172330.34482706</v>
      </c>
      <c r="E97" s="9">
        <f t="shared" si="11"/>
        <v>-2920249655.1724095</v>
      </c>
      <c r="F97" s="9" t="str">
        <f t="shared" ca="1" si="9"/>
        <v/>
      </c>
      <c r="G97" s="9"/>
      <c r="H97" s="10">
        <f t="shared" si="10"/>
        <v>6637.9310344827491</v>
      </c>
    </row>
    <row r="98" spans="1:8" x14ac:dyDescent="0.3">
      <c r="A98" s="5">
        <v>79</v>
      </c>
      <c r="B98" s="6">
        <f t="shared" si="6"/>
        <v>-345153364.82758564</v>
      </c>
      <c r="C98" s="6">
        <f t="shared" si="7"/>
        <v>37931034.482758626</v>
      </c>
      <c r="D98" s="6">
        <f t="shared" si="8"/>
        <v>-383084399.31034428</v>
      </c>
      <c r="E98" s="6">
        <f t="shared" si="11"/>
        <v>-2958180689.6551681</v>
      </c>
      <c r="F98" s="6" t="str">
        <f t="shared" ca="1" si="9"/>
        <v/>
      </c>
      <c r="G98" s="6"/>
      <c r="H98" s="7">
        <f t="shared" si="10"/>
        <v>6724.1379310344728</v>
      </c>
    </row>
    <row r="99" spans="1:8" x14ac:dyDescent="0.3">
      <c r="A99" s="8">
        <v>80</v>
      </c>
      <c r="B99" s="9">
        <f t="shared" si="6"/>
        <v>-350065433.79310286</v>
      </c>
      <c r="C99" s="9">
        <f t="shared" si="7"/>
        <v>37931034.482758626</v>
      </c>
      <c r="D99" s="9">
        <f t="shared" si="8"/>
        <v>-387996468.2758615</v>
      </c>
      <c r="E99" s="9">
        <f t="shared" si="11"/>
        <v>-2996111724.1379266</v>
      </c>
      <c r="F99" s="9" t="str">
        <f t="shared" ca="1" si="9"/>
        <v/>
      </c>
      <c r="G99" s="9"/>
      <c r="H99" s="10">
        <f t="shared" si="10"/>
        <v>6810.3448275861965</v>
      </c>
    </row>
    <row r="100" spans="1:8" x14ac:dyDescent="0.3">
      <c r="A100" s="5">
        <v>81</v>
      </c>
      <c r="B100" s="6">
        <f t="shared" si="6"/>
        <v>-354977502.75862008</v>
      </c>
      <c r="C100" s="6">
        <f t="shared" si="7"/>
        <v>37931034.482758626</v>
      </c>
      <c r="D100" s="6">
        <f t="shared" si="8"/>
        <v>-392908537.24137872</v>
      </c>
      <c r="E100" s="6">
        <f t="shared" si="11"/>
        <v>-3034042758.6206851</v>
      </c>
      <c r="F100" s="6" t="str">
        <f t="shared" ca="1" si="9"/>
        <v/>
      </c>
      <c r="G100" s="6"/>
      <c r="H100" s="7">
        <f t="shared" si="10"/>
        <v>6896.5517241379202</v>
      </c>
    </row>
    <row r="101" spans="1:8" x14ac:dyDescent="0.3">
      <c r="A101" s="8">
        <v>82</v>
      </c>
      <c r="B101" s="9">
        <f t="shared" si="6"/>
        <v>-359889571.72413731</v>
      </c>
      <c r="C101" s="9">
        <f t="shared" si="7"/>
        <v>37931034.482758626</v>
      </c>
      <c r="D101" s="9">
        <f t="shared" si="8"/>
        <v>-397820606.20689595</v>
      </c>
      <c r="E101" s="9">
        <f t="shared" si="11"/>
        <v>-3071973793.1034436</v>
      </c>
      <c r="F101" s="9" t="str">
        <f t="shared" ca="1" si="9"/>
        <v/>
      </c>
      <c r="G101" s="9"/>
      <c r="H101" s="10">
        <f t="shared" si="10"/>
        <v>6982.7586206896449</v>
      </c>
    </row>
    <row r="102" spans="1:8" x14ac:dyDescent="0.3">
      <c r="A102" s="5">
        <v>83</v>
      </c>
      <c r="B102" s="6">
        <f t="shared" si="6"/>
        <v>-364801640.68965453</v>
      </c>
      <c r="C102" s="6">
        <f t="shared" si="7"/>
        <v>37931034.482758626</v>
      </c>
      <c r="D102" s="6">
        <f t="shared" si="8"/>
        <v>-402732675.17241317</v>
      </c>
      <c r="E102" s="6">
        <f t="shared" si="11"/>
        <v>-3109904827.5862021</v>
      </c>
      <c r="F102" s="6" t="str">
        <f t="shared" ca="1" si="9"/>
        <v/>
      </c>
      <c r="G102" s="6"/>
      <c r="H102" s="7">
        <f t="shared" si="10"/>
        <v>7068.9655172413686</v>
      </c>
    </row>
    <row r="103" spans="1:8" x14ac:dyDescent="0.3">
      <c r="A103" s="8">
        <v>84</v>
      </c>
      <c r="B103" s="9">
        <f t="shared" si="6"/>
        <v>-369713709.65517175</v>
      </c>
      <c r="C103" s="9">
        <f t="shared" si="7"/>
        <v>37931034.482758626</v>
      </c>
      <c r="D103" s="9">
        <f t="shared" si="8"/>
        <v>-407644744.13793039</v>
      </c>
      <c r="E103" s="9">
        <f t="shared" si="11"/>
        <v>-3147835862.0689607</v>
      </c>
      <c r="F103" s="9" t="str">
        <f t="shared" ca="1" si="9"/>
        <v/>
      </c>
      <c r="G103" s="9"/>
      <c r="H103" s="10">
        <f t="shared" si="10"/>
        <v>7155.1724137930923</v>
      </c>
    </row>
    <row r="104" spans="1:8" x14ac:dyDescent="0.3">
      <c r="A104" s="5">
        <v>85</v>
      </c>
      <c r="B104" s="6">
        <f t="shared" si="6"/>
        <v>-374625778.62068903</v>
      </c>
      <c r="C104" s="6">
        <f t="shared" si="7"/>
        <v>37931034.482758626</v>
      </c>
      <c r="D104" s="6">
        <f t="shared" si="8"/>
        <v>-412556813.10344768</v>
      </c>
      <c r="E104" s="6">
        <f t="shared" si="11"/>
        <v>-3185766896.5517192</v>
      </c>
      <c r="F104" s="6" t="str">
        <f t="shared" ca="1" si="9"/>
        <v/>
      </c>
      <c r="G104" s="6"/>
      <c r="H104" s="7">
        <f t="shared" si="10"/>
        <v>7241.3793103448161</v>
      </c>
    </row>
    <row r="105" spans="1:8" x14ac:dyDescent="0.3">
      <c r="A105" s="8">
        <v>86</v>
      </c>
      <c r="B105" s="9">
        <f t="shared" si="6"/>
        <v>-379537847.58620626</v>
      </c>
      <c r="C105" s="9">
        <f t="shared" si="7"/>
        <v>37931034.482758626</v>
      </c>
      <c r="D105" s="9">
        <f t="shared" si="8"/>
        <v>-417468882.0689649</v>
      </c>
      <c r="E105" s="9">
        <f t="shared" si="11"/>
        <v>-3223697931.0344777</v>
      </c>
      <c r="F105" s="9" t="str">
        <f t="shared" ca="1" si="9"/>
        <v/>
      </c>
      <c r="G105" s="9"/>
      <c r="H105" s="10">
        <f t="shared" si="10"/>
        <v>7327.5862068965398</v>
      </c>
    </row>
    <row r="106" spans="1:8" x14ac:dyDescent="0.3">
      <c r="A106" s="5">
        <v>87</v>
      </c>
      <c r="B106" s="6">
        <f t="shared" si="6"/>
        <v>-384449916.55172348</v>
      </c>
      <c r="C106" s="6">
        <f t="shared" si="7"/>
        <v>37931034.482758626</v>
      </c>
      <c r="D106" s="6">
        <f t="shared" si="8"/>
        <v>-422380951.03448212</v>
      </c>
      <c r="E106" s="6">
        <f t="shared" si="11"/>
        <v>-3261628965.5172362</v>
      </c>
      <c r="F106" s="6" t="str">
        <f t="shared" ca="1" si="9"/>
        <v/>
      </c>
      <c r="G106" s="6"/>
      <c r="H106" s="7">
        <f t="shared" si="10"/>
        <v>7413.7931034482644</v>
      </c>
    </row>
    <row r="107" spans="1:8" x14ac:dyDescent="0.3">
      <c r="A107" s="8">
        <v>88</v>
      </c>
      <c r="B107" s="9">
        <f t="shared" si="6"/>
        <v>-389361985.5172407</v>
      </c>
      <c r="C107" s="9">
        <f t="shared" si="7"/>
        <v>37931034.482758626</v>
      </c>
      <c r="D107" s="9">
        <f t="shared" si="8"/>
        <v>-427293019.99999934</v>
      </c>
      <c r="E107" s="9">
        <f t="shared" si="11"/>
        <v>-3299559999.9999948</v>
      </c>
      <c r="F107" s="9" t="str">
        <f t="shared" ca="1" si="9"/>
        <v/>
      </c>
      <c r="G107" s="9"/>
      <c r="H107" s="10">
        <f t="shared" si="10"/>
        <v>7499.9999999999882</v>
      </c>
    </row>
    <row r="108" spans="1:8" x14ac:dyDescent="0.3">
      <c r="A108" s="5">
        <v>89</v>
      </c>
      <c r="B108" s="6">
        <f t="shared" si="6"/>
        <v>-394274054.48275793</v>
      </c>
      <c r="C108" s="6">
        <f t="shared" si="7"/>
        <v>37931034.482758626</v>
      </c>
      <c r="D108" s="6">
        <f t="shared" si="8"/>
        <v>-432205088.96551657</v>
      </c>
      <c r="E108" s="6">
        <f t="shared" si="11"/>
        <v>-3337491034.4827533</v>
      </c>
      <c r="F108" s="6" t="str">
        <f t="shared" ca="1" si="9"/>
        <v/>
      </c>
      <c r="G108" s="6"/>
      <c r="H108" s="7">
        <f t="shared" si="10"/>
        <v>7586.2068965517119</v>
      </c>
    </row>
    <row r="109" spans="1:8" x14ac:dyDescent="0.3">
      <c r="A109" s="8">
        <v>90</v>
      </c>
      <c r="B109" s="9">
        <f t="shared" si="6"/>
        <v>-399186123.44827515</v>
      </c>
      <c r="C109" s="9">
        <f t="shared" si="7"/>
        <v>37931034.482758626</v>
      </c>
      <c r="D109" s="9">
        <f t="shared" si="8"/>
        <v>-437117157.93103379</v>
      </c>
      <c r="E109" s="9">
        <f t="shared" si="11"/>
        <v>-3375422068.9655118</v>
      </c>
      <c r="F109" s="9" t="str">
        <f t="shared" ca="1" si="9"/>
        <v/>
      </c>
      <c r="G109" s="9"/>
      <c r="H109" s="10">
        <f t="shared" si="10"/>
        <v>7672.4137931034356</v>
      </c>
    </row>
    <row r="110" spans="1:8" x14ac:dyDescent="0.3">
      <c r="A110" s="5">
        <v>91</v>
      </c>
      <c r="B110" s="6">
        <f t="shared" si="6"/>
        <v>-404098192.41379237</v>
      </c>
      <c r="C110" s="6">
        <f t="shared" si="7"/>
        <v>37931034.482758626</v>
      </c>
      <c r="D110" s="6">
        <f t="shared" si="8"/>
        <v>-442029226.89655101</v>
      </c>
      <c r="E110" s="6">
        <f t="shared" si="11"/>
        <v>-3413353103.4482703</v>
      </c>
      <c r="F110" s="6" t="str">
        <f t="shared" ca="1" si="9"/>
        <v/>
      </c>
      <c r="G110" s="6"/>
      <c r="H110" s="7">
        <f t="shared" si="10"/>
        <v>7758.6206896551594</v>
      </c>
    </row>
    <row r="111" spans="1:8" x14ac:dyDescent="0.3">
      <c r="A111" s="8">
        <v>92</v>
      </c>
      <c r="B111" s="9">
        <f t="shared" si="6"/>
        <v>-409010261.37930959</v>
      </c>
      <c r="C111" s="9">
        <f t="shared" si="7"/>
        <v>37931034.482758626</v>
      </c>
      <c r="D111" s="9">
        <f t="shared" si="8"/>
        <v>-446941295.86206824</v>
      </c>
      <c r="E111" s="9">
        <f t="shared" si="11"/>
        <v>-3451284137.9310288</v>
      </c>
      <c r="F111" s="9" t="str">
        <f t="shared" ca="1" si="9"/>
        <v/>
      </c>
      <c r="G111" s="9"/>
      <c r="H111" s="10">
        <f t="shared" si="10"/>
        <v>7844.827586206884</v>
      </c>
    </row>
    <row r="112" spans="1:8" x14ac:dyDescent="0.3">
      <c r="A112" s="5">
        <v>93</v>
      </c>
      <c r="B112" s="6">
        <f t="shared" si="6"/>
        <v>-413922330.34482682</v>
      </c>
      <c r="C112" s="6">
        <f t="shared" si="7"/>
        <v>37931034.482758626</v>
      </c>
      <c r="D112" s="6">
        <f t="shared" si="8"/>
        <v>-451853364.82758546</v>
      </c>
      <c r="E112" s="6">
        <f t="shared" si="11"/>
        <v>-3489215172.4137874</v>
      </c>
      <c r="F112" s="6" t="str">
        <f t="shared" ca="1" si="9"/>
        <v/>
      </c>
      <c r="G112" s="6"/>
      <c r="H112" s="7">
        <f t="shared" si="10"/>
        <v>7931.0344827586077</v>
      </c>
    </row>
    <row r="113" spans="1:8" x14ac:dyDescent="0.3">
      <c r="A113" s="8">
        <v>94</v>
      </c>
      <c r="B113" s="9">
        <f t="shared" si="6"/>
        <v>-418834399.31034404</v>
      </c>
      <c r="C113" s="9">
        <f t="shared" si="7"/>
        <v>37931034.482758626</v>
      </c>
      <c r="D113" s="9">
        <f t="shared" si="8"/>
        <v>-456765433.79310268</v>
      </c>
      <c r="E113" s="9">
        <f t="shared" si="11"/>
        <v>-3527146206.8965459</v>
      </c>
      <c r="F113" s="9" t="str">
        <f t="shared" ca="1" si="9"/>
        <v/>
      </c>
      <c r="G113" s="9"/>
      <c r="H113" s="10">
        <f t="shared" si="10"/>
        <v>8017.2413793103315</v>
      </c>
    </row>
    <row r="114" spans="1:8" x14ac:dyDescent="0.3">
      <c r="A114" s="5">
        <v>95</v>
      </c>
      <c r="B114" s="6">
        <f t="shared" si="6"/>
        <v>-423746468.27586132</v>
      </c>
      <c r="C114" s="6">
        <f t="shared" si="7"/>
        <v>37931034.482758626</v>
      </c>
      <c r="D114" s="6">
        <f t="shared" si="8"/>
        <v>-461677502.75861996</v>
      </c>
      <c r="E114" s="6">
        <f t="shared" si="11"/>
        <v>-3565077241.3793044</v>
      </c>
      <c r="F114" s="6" t="str">
        <f t="shared" ca="1" si="9"/>
        <v/>
      </c>
      <c r="G114" s="6"/>
      <c r="H114" s="7">
        <f t="shared" si="10"/>
        <v>8103.4482758620552</v>
      </c>
    </row>
    <row r="115" spans="1:8" x14ac:dyDescent="0.3">
      <c r="A115" s="8">
        <v>96</v>
      </c>
      <c r="B115" s="9">
        <f t="shared" si="6"/>
        <v>-428658537.24137855</v>
      </c>
      <c r="C115" s="9">
        <f t="shared" si="7"/>
        <v>37931034.482758626</v>
      </c>
      <c r="D115" s="9">
        <f t="shared" si="8"/>
        <v>-466589571.72413719</v>
      </c>
      <c r="E115" s="9">
        <f t="shared" si="11"/>
        <v>-3603008275.8620629</v>
      </c>
      <c r="F115" s="9" t="str">
        <f t="shared" ca="1" si="9"/>
        <v/>
      </c>
      <c r="G115" s="9"/>
      <c r="H115" s="10">
        <f t="shared" si="10"/>
        <v>8189.6551724137798</v>
      </c>
    </row>
    <row r="116" spans="1:8" x14ac:dyDescent="0.3">
      <c r="A116" s="5">
        <v>97</v>
      </c>
      <c r="B116" s="6">
        <f t="shared" si="6"/>
        <v>-433570606.20689577</v>
      </c>
      <c r="C116" s="6">
        <f t="shared" si="7"/>
        <v>37931034.482758626</v>
      </c>
      <c r="D116" s="6">
        <f t="shared" si="8"/>
        <v>-471501640.68965441</v>
      </c>
      <c r="E116" s="6">
        <f t="shared" si="11"/>
        <v>-3640939310.3448215</v>
      </c>
      <c r="F116" s="6" t="str">
        <f t="shared" ca="1" si="9"/>
        <v/>
      </c>
      <c r="G116" s="6"/>
      <c r="H116" s="7">
        <f t="shared" si="10"/>
        <v>8275.8620689655036</v>
      </c>
    </row>
    <row r="117" spans="1:8" x14ac:dyDescent="0.3">
      <c r="A117" s="8">
        <v>98</v>
      </c>
      <c r="B117" s="9">
        <f t="shared" si="6"/>
        <v>-438482675.17241299</v>
      </c>
      <c r="C117" s="9">
        <f t="shared" si="7"/>
        <v>37931034.482758626</v>
      </c>
      <c r="D117" s="9">
        <f t="shared" si="8"/>
        <v>-476413709.65517163</v>
      </c>
      <c r="E117" s="9">
        <f t="shared" si="11"/>
        <v>-3678870344.82758</v>
      </c>
      <c r="F117" s="9" t="str">
        <f t="shared" ca="1" si="9"/>
        <v/>
      </c>
      <c r="G117" s="9"/>
      <c r="H117" s="10">
        <f t="shared" si="10"/>
        <v>8362.0689655172264</v>
      </c>
    </row>
    <row r="118" spans="1:8" x14ac:dyDescent="0.3">
      <c r="A118" s="5">
        <v>99</v>
      </c>
      <c r="B118" s="6">
        <f t="shared" si="6"/>
        <v>-443394744.13793021</v>
      </c>
      <c r="C118" s="6">
        <f t="shared" si="7"/>
        <v>37931034.482758626</v>
      </c>
      <c r="D118" s="6">
        <f t="shared" si="8"/>
        <v>-481325778.62068886</v>
      </c>
      <c r="E118" s="6">
        <f t="shared" si="11"/>
        <v>-3716801379.3103385</v>
      </c>
      <c r="F118" s="6" t="str">
        <f t="shared" ca="1" si="9"/>
        <v/>
      </c>
      <c r="G118" s="6"/>
      <c r="H118" s="7">
        <f t="shared" si="10"/>
        <v>8448.275862068951</v>
      </c>
    </row>
    <row r="119" spans="1:8" x14ac:dyDescent="0.3">
      <c r="A119" s="8">
        <v>100</v>
      </c>
      <c r="B119" s="9">
        <f t="shared" si="6"/>
        <v>-448306813.10344744</v>
      </c>
      <c r="C119" s="9">
        <f t="shared" si="7"/>
        <v>37931034.482758626</v>
      </c>
      <c r="D119" s="9">
        <f t="shared" si="8"/>
        <v>-486237847.58620608</v>
      </c>
      <c r="E119" s="9">
        <f t="shared" si="11"/>
        <v>-3754732413.793097</v>
      </c>
      <c r="F119" s="9" t="str">
        <f t="shared" ca="1" si="9"/>
        <v/>
      </c>
      <c r="G119" s="9"/>
      <c r="H119" s="10">
        <f t="shared" si="10"/>
        <v>8534.4827586206757</v>
      </c>
    </row>
    <row r="120" spans="1:8" x14ac:dyDescent="0.3">
      <c r="A120" s="5">
        <v>101</v>
      </c>
      <c r="B120" s="6">
        <f t="shared" si="6"/>
        <v>-453218882.06896466</v>
      </c>
      <c r="C120" s="6">
        <f t="shared" si="7"/>
        <v>37931034.482758626</v>
      </c>
      <c r="D120" s="6">
        <f t="shared" si="8"/>
        <v>-491149916.5517233</v>
      </c>
      <c r="E120" s="6">
        <f t="shared" si="11"/>
        <v>-3792663448.2758555</v>
      </c>
      <c r="F120" s="6" t="str">
        <f t="shared" ca="1" si="9"/>
        <v/>
      </c>
      <c r="G120" s="6"/>
      <c r="H120" s="7">
        <f t="shared" si="10"/>
        <v>8620.6896551723985</v>
      </c>
    </row>
    <row r="121" spans="1:8" x14ac:dyDescent="0.3">
      <c r="A121" s="8">
        <v>102</v>
      </c>
      <c r="B121" s="9">
        <f t="shared" si="6"/>
        <v>-458130951.03448188</v>
      </c>
      <c r="C121" s="9">
        <f t="shared" si="7"/>
        <v>37931034.482758626</v>
      </c>
      <c r="D121" s="9">
        <f t="shared" si="8"/>
        <v>-496061985.51724052</v>
      </c>
      <c r="E121" s="9">
        <f t="shared" si="11"/>
        <v>-3830594482.7586141</v>
      </c>
      <c r="F121" s="9" t="str">
        <f t="shared" ca="1" si="9"/>
        <v/>
      </c>
      <c r="G121" s="9"/>
      <c r="H121" s="10">
        <f t="shared" si="10"/>
        <v>8706.8965517241231</v>
      </c>
    </row>
    <row r="122" spans="1:8" x14ac:dyDescent="0.3">
      <c r="A122" s="5">
        <v>103</v>
      </c>
      <c r="B122" s="6">
        <f t="shared" si="6"/>
        <v>-463043019.99999911</v>
      </c>
      <c r="C122" s="6">
        <f t="shared" si="7"/>
        <v>37931034.482758626</v>
      </c>
      <c r="D122" s="6">
        <f t="shared" si="8"/>
        <v>-500974054.48275775</v>
      </c>
      <c r="E122" s="6">
        <f t="shared" si="11"/>
        <v>-3868525517.2413726</v>
      </c>
      <c r="F122" s="6" t="str">
        <f t="shared" ca="1" si="9"/>
        <v/>
      </c>
      <c r="G122" s="6"/>
      <c r="H122" s="7">
        <f t="shared" si="10"/>
        <v>8793.1034482758459</v>
      </c>
    </row>
    <row r="123" spans="1:8" x14ac:dyDescent="0.3">
      <c r="A123" s="8">
        <v>104</v>
      </c>
      <c r="B123" s="9">
        <f t="shared" si="6"/>
        <v>-467955088.96551633</v>
      </c>
      <c r="C123" s="9">
        <f t="shared" si="7"/>
        <v>37931034.482758626</v>
      </c>
      <c r="D123" s="9">
        <f t="shared" si="8"/>
        <v>-505886123.44827497</v>
      </c>
      <c r="E123" s="9">
        <f t="shared" si="11"/>
        <v>-3906456551.7241311</v>
      </c>
      <c r="F123" s="9" t="str">
        <f t="shared" ca="1" si="9"/>
        <v/>
      </c>
      <c r="G123" s="9"/>
      <c r="H123" s="10">
        <f t="shared" si="10"/>
        <v>8879.3103448275706</v>
      </c>
    </row>
    <row r="124" spans="1:8" x14ac:dyDescent="0.3">
      <c r="A124" s="5">
        <v>105</v>
      </c>
      <c r="B124" s="6">
        <f t="shared" si="6"/>
        <v>-472867157.93103361</v>
      </c>
      <c r="C124" s="6">
        <f t="shared" si="7"/>
        <v>37931034.482758626</v>
      </c>
      <c r="D124" s="6">
        <f t="shared" si="8"/>
        <v>-510798192.41379225</v>
      </c>
      <c r="E124" s="6">
        <f t="shared" si="11"/>
        <v>-3944387586.2068896</v>
      </c>
      <c r="F124" s="6" t="str">
        <f t="shared" ca="1" si="9"/>
        <v/>
      </c>
      <c r="G124" s="6"/>
      <c r="H124" s="7">
        <f t="shared" si="10"/>
        <v>8965.5172413792952</v>
      </c>
    </row>
    <row r="125" spans="1:8" x14ac:dyDescent="0.3">
      <c r="A125" s="8">
        <v>106</v>
      </c>
      <c r="B125" s="9">
        <f t="shared" si="6"/>
        <v>-477779226.89655083</v>
      </c>
      <c r="C125" s="9">
        <f t="shared" si="7"/>
        <v>37931034.482758626</v>
      </c>
      <c r="D125" s="9">
        <f t="shared" si="8"/>
        <v>-515710261.37930948</v>
      </c>
      <c r="E125" s="9">
        <f t="shared" si="11"/>
        <v>-3982318620.6896482</v>
      </c>
      <c r="F125" s="9" t="str">
        <f t="shared" ca="1" si="9"/>
        <v/>
      </c>
      <c r="G125" s="9"/>
      <c r="H125" s="10">
        <f t="shared" si="10"/>
        <v>9051.724137931018</v>
      </c>
    </row>
    <row r="126" spans="1:8" x14ac:dyDescent="0.3">
      <c r="A126" s="5">
        <v>107</v>
      </c>
      <c r="B126" s="6">
        <f t="shared" si="6"/>
        <v>-482691295.86206806</v>
      </c>
      <c r="C126" s="6">
        <f t="shared" si="7"/>
        <v>37931034.482758626</v>
      </c>
      <c r="D126" s="6">
        <f t="shared" si="8"/>
        <v>-520622330.3448267</v>
      </c>
      <c r="E126" s="6">
        <f t="shared" si="11"/>
        <v>-4020249655.1724067</v>
      </c>
      <c r="F126" s="6" t="str">
        <f t="shared" ca="1" si="9"/>
        <v/>
      </c>
      <c r="G126" s="6"/>
      <c r="H126" s="7">
        <f t="shared" si="10"/>
        <v>9137.9310344827427</v>
      </c>
    </row>
    <row r="127" spans="1:8" x14ac:dyDescent="0.3">
      <c r="A127" s="8">
        <v>108</v>
      </c>
      <c r="B127" s="9">
        <f t="shared" si="6"/>
        <v>-487603364.82758528</v>
      </c>
      <c r="C127" s="9">
        <f t="shared" si="7"/>
        <v>37931034.482758626</v>
      </c>
      <c r="D127" s="9">
        <f t="shared" si="8"/>
        <v>-525534399.31034392</v>
      </c>
      <c r="E127" s="9">
        <f t="shared" si="11"/>
        <v>-4058180689.6551652</v>
      </c>
      <c r="F127" s="9" t="str">
        <f t="shared" ca="1" si="9"/>
        <v/>
      </c>
      <c r="G127" s="9"/>
      <c r="H127" s="10">
        <f t="shared" si="10"/>
        <v>9224.1379310344655</v>
      </c>
    </row>
    <row r="128" spans="1:8" x14ac:dyDescent="0.3">
      <c r="A128" s="5">
        <v>109</v>
      </c>
      <c r="B128" s="6">
        <f t="shared" si="6"/>
        <v>-492515433.7931025</v>
      </c>
      <c r="C128" s="6">
        <f t="shared" si="7"/>
        <v>37931034.482758626</v>
      </c>
      <c r="D128" s="6">
        <f t="shared" si="8"/>
        <v>-530446468.27586114</v>
      </c>
      <c r="E128" s="6">
        <f t="shared" si="11"/>
        <v>-4096111724.1379237</v>
      </c>
      <c r="F128" s="6" t="str">
        <f t="shared" ca="1" si="9"/>
        <v/>
      </c>
      <c r="G128" s="6"/>
      <c r="H128" s="7">
        <f t="shared" si="10"/>
        <v>9310.3448275861901</v>
      </c>
    </row>
    <row r="129" spans="1:8" x14ac:dyDescent="0.3">
      <c r="A129" s="8">
        <v>110</v>
      </c>
      <c r="B129" s="9">
        <f t="shared" si="6"/>
        <v>-497427502.75861973</v>
      </c>
      <c r="C129" s="9">
        <f t="shared" si="7"/>
        <v>37931034.482758626</v>
      </c>
      <c r="D129" s="9">
        <f t="shared" si="8"/>
        <v>-535358537.24137837</v>
      </c>
      <c r="E129" s="9">
        <f t="shared" si="11"/>
        <v>-4134042758.6206822</v>
      </c>
      <c r="F129" s="9" t="str">
        <f t="shared" ca="1" si="9"/>
        <v/>
      </c>
      <c r="G129" s="9"/>
      <c r="H129" s="10">
        <f t="shared" si="10"/>
        <v>9396.5517241379148</v>
      </c>
    </row>
    <row r="130" spans="1:8" x14ac:dyDescent="0.3">
      <c r="A130" s="5">
        <v>111</v>
      </c>
      <c r="B130" s="6">
        <f t="shared" si="6"/>
        <v>-502339571.72413695</v>
      </c>
      <c r="C130" s="6">
        <f t="shared" si="7"/>
        <v>37931034.482758626</v>
      </c>
      <c r="D130" s="6">
        <f t="shared" si="8"/>
        <v>-540270606.20689559</v>
      </c>
      <c r="E130" s="6">
        <f t="shared" si="11"/>
        <v>-4171973793.1034408</v>
      </c>
      <c r="F130" s="6" t="str">
        <f t="shared" ca="1" si="9"/>
        <v/>
      </c>
      <c r="G130" s="6"/>
      <c r="H130" s="7">
        <f t="shared" si="10"/>
        <v>9482.7586206896376</v>
      </c>
    </row>
    <row r="131" spans="1:8" x14ac:dyDescent="0.3">
      <c r="A131" s="8">
        <v>112</v>
      </c>
      <c r="B131" s="9">
        <f t="shared" si="6"/>
        <v>-507251640.68965423</v>
      </c>
      <c r="C131" s="9">
        <f t="shared" si="7"/>
        <v>37931034.482758626</v>
      </c>
      <c r="D131" s="9">
        <f t="shared" si="8"/>
        <v>-545182675.17241287</v>
      </c>
      <c r="E131" s="9">
        <f t="shared" si="11"/>
        <v>-4209904827.5861993</v>
      </c>
      <c r="F131" s="9" t="str">
        <f t="shared" ca="1" si="9"/>
        <v/>
      </c>
      <c r="G131" s="9"/>
      <c r="H131" s="10">
        <f t="shared" si="10"/>
        <v>9568.9655172413622</v>
      </c>
    </row>
    <row r="132" spans="1:8" x14ac:dyDescent="0.3">
      <c r="A132" s="5">
        <v>113</v>
      </c>
      <c r="B132" s="6">
        <f t="shared" si="6"/>
        <v>-512163709.65517139</v>
      </c>
      <c r="C132" s="6">
        <f t="shared" si="7"/>
        <v>37931034.482758626</v>
      </c>
      <c r="D132" s="6">
        <f t="shared" si="8"/>
        <v>-550094744.13793004</v>
      </c>
      <c r="E132" s="6">
        <f t="shared" si="11"/>
        <v>-4247835862.0689578</v>
      </c>
      <c r="F132" s="6" t="str">
        <f t="shared" ca="1" si="9"/>
        <v/>
      </c>
      <c r="G132" s="6"/>
      <c r="H132" s="7">
        <f t="shared" si="10"/>
        <v>9655.1724137930851</v>
      </c>
    </row>
    <row r="133" spans="1:8" x14ac:dyDescent="0.3">
      <c r="A133" s="8">
        <v>114</v>
      </c>
      <c r="B133" s="9">
        <f t="shared" si="6"/>
        <v>-517075778.62068868</v>
      </c>
      <c r="C133" s="9">
        <f t="shared" si="7"/>
        <v>37931034.482758626</v>
      </c>
      <c r="D133" s="9">
        <f t="shared" si="8"/>
        <v>-555006813.10344732</v>
      </c>
      <c r="E133" s="9">
        <f t="shared" si="11"/>
        <v>-4285766896.5517163</v>
      </c>
      <c r="F133" s="9" t="str">
        <f t="shared" ca="1" si="9"/>
        <v/>
      </c>
      <c r="G133" s="9"/>
      <c r="H133" s="10">
        <f t="shared" si="10"/>
        <v>9741.3793103448097</v>
      </c>
    </row>
    <row r="134" spans="1:8" x14ac:dyDescent="0.3">
      <c r="A134" s="5">
        <v>115</v>
      </c>
      <c r="B134" s="6">
        <f t="shared" si="6"/>
        <v>-521987847.58620596</v>
      </c>
      <c r="C134" s="6">
        <f t="shared" si="7"/>
        <v>37931034.482758626</v>
      </c>
      <c r="D134" s="6">
        <f t="shared" si="8"/>
        <v>-559918882.0689646</v>
      </c>
      <c r="E134" s="6">
        <f t="shared" si="11"/>
        <v>-4323697931.0344753</v>
      </c>
      <c r="F134" s="6" t="str">
        <f t="shared" ca="1" si="9"/>
        <v/>
      </c>
      <c r="G134" s="6"/>
      <c r="H134" s="7">
        <f t="shared" si="10"/>
        <v>9827.5862068965343</v>
      </c>
    </row>
    <row r="135" spans="1:8" x14ac:dyDescent="0.3">
      <c r="A135" s="8">
        <v>116</v>
      </c>
      <c r="B135" s="9">
        <f t="shared" si="6"/>
        <v>-526899916.55172312</v>
      </c>
      <c r="C135" s="9">
        <f t="shared" si="7"/>
        <v>37931034.482758626</v>
      </c>
      <c r="D135" s="9">
        <f t="shared" si="8"/>
        <v>-564830951.03448176</v>
      </c>
      <c r="E135" s="9">
        <f t="shared" si="11"/>
        <v>-4361628965.5172338</v>
      </c>
      <c r="F135" s="9" t="str">
        <f t="shared" ca="1" si="9"/>
        <v/>
      </c>
      <c r="G135" s="9"/>
      <c r="H135" s="10">
        <f t="shared" si="10"/>
        <v>9913.793103448259</v>
      </c>
    </row>
    <row r="136" spans="1:8" x14ac:dyDescent="0.3">
      <c r="A136" s="5">
        <v>117</v>
      </c>
      <c r="B136" s="6">
        <f t="shared" si="6"/>
        <v>-531811985.51724041</v>
      </c>
      <c r="C136" s="6">
        <f t="shared" si="7"/>
        <v>37931034.482758626</v>
      </c>
      <c r="D136" s="6">
        <f t="shared" si="8"/>
        <v>-569743019.99999905</v>
      </c>
      <c r="E136" s="6">
        <f t="shared" si="11"/>
        <v>-4399559999.9999924</v>
      </c>
      <c r="F136" s="6" t="str">
        <f t="shared" ca="1" si="9"/>
        <v/>
      </c>
      <c r="G136" s="6"/>
      <c r="H136" s="7">
        <f t="shared" si="10"/>
        <v>9999.9999999999818</v>
      </c>
    </row>
    <row r="137" spans="1:8" x14ac:dyDescent="0.3">
      <c r="A137" s="8">
        <v>118</v>
      </c>
      <c r="B137" s="9">
        <f t="shared" si="6"/>
        <v>-536724054.48275757</v>
      </c>
      <c r="C137" s="9">
        <f t="shared" si="7"/>
        <v>37931034.482758626</v>
      </c>
      <c r="D137" s="9">
        <f t="shared" si="8"/>
        <v>-574655088.96551621</v>
      </c>
      <c r="E137" s="9">
        <f t="shared" si="11"/>
        <v>-4437491034.4827509</v>
      </c>
      <c r="F137" s="9" t="str">
        <f t="shared" ca="1" si="9"/>
        <v/>
      </c>
      <c r="G137" s="9"/>
      <c r="H137" s="10">
        <f t="shared" si="10"/>
        <v>10086.206896551706</v>
      </c>
    </row>
    <row r="138" spans="1:8" x14ac:dyDescent="0.3">
      <c r="A138" s="5">
        <v>119</v>
      </c>
      <c r="B138" s="6">
        <f t="shared" si="6"/>
        <v>-541636123.44827485</v>
      </c>
      <c r="C138" s="6">
        <f t="shared" si="7"/>
        <v>37931034.482758626</v>
      </c>
      <c r="D138" s="6">
        <f t="shared" si="8"/>
        <v>-579567157.93103349</v>
      </c>
      <c r="E138" s="6">
        <f t="shared" si="11"/>
        <v>-4475422068.9655094</v>
      </c>
      <c r="F138" s="6" t="str">
        <f t="shared" ca="1" si="9"/>
        <v/>
      </c>
      <c r="G138" s="6"/>
      <c r="H138" s="7">
        <f t="shared" si="10"/>
        <v>10172.413793103431</v>
      </c>
    </row>
    <row r="139" spans="1:8" x14ac:dyDescent="0.3">
      <c r="A139" s="8">
        <v>120</v>
      </c>
      <c r="B139" s="9">
        <f t="shared" si="6"/>
        <v>-546548192.41379213</v>
      </c>
      <c r="C139" s="9">
        <f t="shared" si="7"/>
        <v>37931034.482758626</v>
      </c>
      <c r="D139" s="9">
        <f t="shared" si="8"/>
        <v>-584479226.89655077</v>
      </c>
      <c r="E139" s="9">
        <f t="shared" si="11"/>
        <v>-4513353103.4482679</v>
      </c>
      <c r="F139" s="9" t="str">
        <f t="shared" ca="1" si="9"/>
        <v/>
      </c>
      <c r="G139" s="9"/>
      <c r="H139" s="10">
        <f t="shared" si="10"/>
        <v>10258.620689655154</v>
      </c>
    </row>
    <row r="140" spans="1:8" x14ac:dyDescent="0.3">
      <c r="A140" s="5">
        <v>121</v>
      </c>
      <c r="B140" s="6">
        <f t="shared" si="6"/>
        <v>-551460261.3793093</v>
      </c>
      <c r="C140" s="6">
        <f t="shared" si="7"/>
        <v>37931034.482758626</v>
      </c>
      <c r="D140" s="6">
        <f t="shared" si="8"/>
        <v>-589391295.86206794</v>
      </c>
      <c r="E140" s="6">
        <f t="shared" si="11"/>
        <v>-4551284137.9310265</v>
      </c>
      <c r="F140" s="6" t="str">
        <f t="shared" ca="1" si="9"/>
        <v/>
      </c>
      <c r="G140" s="6"/>
      <c r="H140" s="7">
        <f t="shared" si="10"/>
        <v>10344.827586206879</v>
      </c>
    </row>
    <row r="141" spans="1:8" x14ac:dyDescent="0.3">
      <c r="A141" s="8">
        <v>122</v>
      </c>
      <c r="B141" s="9">
        <f t="shared" si="6"/>
        <v>-556372330.34482658</v>
      </c>
      <c r="C141" s="9">
        <f t="shared" si="7"/>
        <v>37931034.482758626</v>
      </c>
      <c r="D141" s="9">
        <f t="shared" si="8"/>
        <v>-594303364.82758522</v>
      </c>
      <c r="E141" s="9">
        <f t="shared" si="11"/>
        <v>-4589215172.413785</v>
      </c>
      <c r="F141" s="9" t="str">
        <f t="shared" ca="1" si="9"/>
        <v/>
      </c>
      <c r="G141" s="9"/>
      <c r="H141" s="10">
        <f t="shared" si="10"/>
        <v>10431.034482758601</v>
      </c>
    </row>
    <row r="142" spans="1:8" x14ac:dyDescent="0.3">
      <c r="A142" s="5">
        <v>123</v>
      </c>
      <c r="B142" s="6">
        <f t="shared" si="6"/>
        <v>-561284399.31034374</v>
      </c>
      <c r="C142" s="6">
        <f t="shared" si="7"/>
        <v>37931034.482758626</v>
      </c>
      <c r="D142" s="6">
        <f t="shared" si="8"/>
        <v>-599215433.79310238</v>
      </c>
      <c r="E142" s="6">
        <f t="shared" si="11"/>
        <v>-4627146206.8965435</v>
      </c>
      <c r="F142" s="6" t="str">
        <f t="shared" ca="1" si="9"/>
        <v/>
      </c>
      <c r="G142" s="6"/>
      <c r="H142" s="7">
        <f t="shared" si="10"/>
        <v>10517.241379310326</v>
      </c>
    </row>
    <row r="143" spans="1:8" x14ac:dyDescent="0.3">
      <c r="A143" s="8">
        <v>124</v>
      </c>
      <c r="B143" s="9">
        <f t="shared" si="6"/>
        <v>-566196468.27586102</v>
      </c>
      <c r="C143" s="9">
        <f t="shared" si="7"/>
        <v>37931034.482758626</v>
      </c>
      <c r="D143" s="9">
        <f t="shared" si="8"/>
        <v>-604127502.75861967</v>
      </c>
      <c r="E143" s="9">
        <f t="shared" si="11"/>
        <v>-4665077241.379302</v>
      </c>
      <c r="F143" s="9" t="str">
        <f t="shared" ca="1" si="9"/>
        <v/>
      </c>
      <c r="G143" s="9"/>
      <c r="H143" s="10">
        <f t="shared" si="10"/>
        <v>10603.448275862051</v>
      </c>
    </row>
    <row r="144" spans="1:8" x14ac:dyDescent="0.3">
      <c r="A144" s="5">
        <v>125</v>
      </c>
      <c r="B144" s="6">
        <f t="shared" si="6"/>
        <v>-571108537.24137819</v>
      </c>
      <c r="C144" s="6">
        <f t="shared" si="7"/>
        <v>37931034.482758626</v>
      </c>
      <c r="D144" s="6">
        <f t="shared" si="8"/>
        <v>-609039571.72413683</v>
      </c>
      <c r="E144" s="6">
        <f t="shared" si="11"/>
        <v>-4703008275.8620605</v>
      </c>
      <c r="F144" s="6" t="str">
        <f t="shared" ca="1" si="9"/>
        <v/>
      </c>
      <c r="G144" s="6"/>
      <c r="H144" s="7">
        <f t="shared" si="10"/>
        <v>10689.655172413773</v>
      </c>
    </row>
    <row r="145" spans="1:8" x14ac:dyDescent="0.3">
      <c r="A145" s="8">
        <v>126</v>
      </c>
      <c r="B145" s="9">
        <f t="shared" si="6"/>
        <v>-576020606.20689547</v>
      </c>
      <c r="C145" s="9">
        <f t="shared" si="7"/>
        <v>37931034.482758626</v>
      </c>
      <c r="D145" s="9">
        <f t="shared" si="8"/>
        <v>-613951640.68965411</v>
      </c>
      <c r="E145" s="9">
        <f t="shared" si="11"/>
        <v>-4740939310.3448191</v>
      </c>
      <c r="F145" s="9" t="str">
        <f t="shared" ca="1" si="9"/>
        <v/>
      </c>
      <c r="G145" s="9"/>
      <c r="H145" s="10">
        <f t="shared" si="10"/>
        <v>10775.862068965498</v>
      </c>
    </row>
    <row r="146" spans="1:8" x14ac:dyDescent="0.3">
      <c r="A146" s="5">
        <v>127</v>
      </c>
      <c r="B146" s="6">
        <f t="shared" si="6"/>
        <v>-580932675.17241263</v>
      </c>
      <c r="C146" s="6">
        <f t="shared" si="7"/>
        <v>37931034.482758626</v>
      </c>
      <c r="D146" s="6">
        <f t="shared" si="8"/>
        <v>-618863709.65517128</v>
      </c>
      <c r="E146" s="6">
        <f t="shared" si="11"/>
        <v>-4778870344.8275776</v>
      </c>
      <c r="F146" s="6" t="str">
        <f t="shared" ca="1" si="9"/>
        <v/>
      </c>
      <c r="G146" s="6"/>
      <c r="H146" s="7">
        <f t="shared" si="10"/>
        <v>10862.068965517221</v>
      </c>
    </row>
    <row r="147" spans="1:8" x14ac:dyDescent="0.3">
      <c r="A147" s="8">
        <v>128</v>
      </c>
      <c r="B147" s="9">
        <f t="shared" si="6"/>
        <v>-585844744.13792992</v>
      </c>
      <c r="C147" s="9">
        <f t="shared" si="7"/>
        <v>37931034.482758626</v>
      </c>
      <c r="D147" s="9">
        <f t="shared" si="8"/>
        <v>-623775778.62068856</v>
      </c>
      <c r="E147" s="9">
        <f t="shared" si="11"/>
        <v>-4816801379.3103361</v>
      </c>
      <c r="F147" s="9" t="str">
        <f t="shared" ca="1" si="9"/>
        <v/>
      </c>
      <c r="G147" s="9"/>
      <c r="H147" s="10">
        <f t="shared" si="10"/>
        <v>10948.275862068946</v>
      </c>
    </row>
    <row r="148" spans="1:8" x14ac:dyDescent="0.3">
      <c r="A148" s="5">
        <v>129</v>
      </c>
      <c r="B148" s="6">
        <f t="shared" ref="B148:B211" si="12">C148+D148</f>
        <v>-590756813.10344708</v>
      </c>
      <c r="C148" s="6">
        <f t="shared" ref="C148:C211" si="13">$B$8/$B$12</f>
        <v>37931034.482758626</v>
      </c>
      <c r="D148" s="6">
        <f t="shared" ref="D148:D211" si="14">E148*$B$15</f>
        <v>-628687847.58620572</v>
      </c>
      <c r="E148" s="6">
        <f t="shared" si="11"/>
        <v>-4854732413.7930946</v>
      </c>
      <c r="F148" s="6" t="str">
        <f t="shared" ref="F148:F211" ca="1" si="15">B148*(1+$B$14)</f>
        <v/>
      </c>
      <c r="G148" s="6"/>
      <c r="H148" s="7">
        <f t="shared" ref="H148:H211" si="16">1-E148/$B$8</f>
        <v>11034.48275862067</v>
      </c>
    </row>
    <row r="149" spans="1:8" x14ac:dyDescent="0.3">
      <c r="A149" s="8">
        <v>130</v>
      </c>
      <c r="B149" s="9">
        <f t="shared" si="12"/>
        <v>-595668882.06896436</v>
      </c>
      <c r="C149" s="9">
        <f t="shared" si="13"/>
        <v>37931034.482758626</v>
      </c>
      <c r="D149" s="9">
        <f t="shared" si="14"/>
        <v>-633599916.551723</v>
      </c>
      <c r="E149" s="9">
        <f t="shared" ref="E149:E212" si="17">E148-C149</f>
        <v>-4892663448.2758532</v>
      </c>
      <c r="F149" s="9" t="str">
        <f t="shared" ca="1" si="15"/>
        <v/>
      </c>
      <c r="G149" s="9"/>
      <c r="H149" s="10">
        <f t="shared" si="16"/>
        <v>11120.689655172393</v>
      </c>
    </row>
    <row r="150" spans="1:8" x14ac:dyDescent="0.3">
      <c r="A150" s="5">
        <v>131</v>
      </c>
      <c r="B150" s="6">
        <f t="shared" si="12"/>
        <v>-600580951.03448164</v>
      </c>
      <c r="C150" s="6">
        <f t="shared" si="13"/>
        <v>37931034.482758626</v>
      </c>
      <c r="D150" s="6">
        <f t="shared" si="14"/>
        <v>-638511985.51724029</v>
      </c>
      <c r="E150" s="6">
        <f t="shared" si="17"/>
        <v>-4930594482.7586117</v>
      </c>
      <c r="F150" s="6" t="str">
        <f t="shared" ca="1" si="15"/>
        <v/>
      </c>
      <c r="G150" s="6"/>
      <c r="H150" s="7">
        <f t="shared" si="16"/>
        <v>11206.896551724118</v>
      </c>
    </row>
    <row r="151" spans="1:8" x14ac:dyDescent="0.3">
      <c r="A151" s="8">
        <v>132</v>
      </c>
      <c r="B151" s="9">
        <f t="shared" si="12"/>
        <v>-605493019.99999881</v>
      </c>
      <c r="C151" s="9">
        <f t="shared" si="13"/>
        <v>37931034.482758626</v>
      </c>
      <c r="D151" s="9">
        <f t="shared" si="14"/>
        <v>-643424054.48275745</v>
      </c>
      <c r="E151" s="9">
        <f t="shared" si="17"/>
        <v>-4968525517.2413702</v>
      </c>
      <c r="F151" s="9" t="str">
        <f t="shared" ca="1" si="15"/>
        <v/>
      </c>
      <c r="G151" s="9"/>
      <c r="H151" s="10">
        <f t="shared" si="16"/>
        <v>11293.10344827584</v>
      </c>
    </row>
    <row r="152" spans="1:8" x14ac:dyDescent="0.3">
      <c r="A152" s="5">
        <v>133</v>
      </c>
      <c r="B152" s="6">
        <f t="shared" si="12"/>
        <v>-610405088.96551609</v>
      </c>
      <c r="C152" s="6">
        <f t="shared" si="13"/>
        <v>37931034.482758626</v>
      </c>
      <c r="D152" s="6">
        <f t="shared" si="14"/>
        <v>-648336123.44827473</v>
      </c>
      <c r="E152" s="6">
        <f t="shared" si="17"/>
        <v>-5006456551.7241287</v>
      </c>
      <c r="F152" s="6" t="str">
        <f t="shared" ca="1" si="15"/>
        <v/>
      </c>
      <c r="G152" s="6"/>
      <c r="H152" s="7">
        <f t="shared" si="16"/>
        <v>11379.310344827565</v>
      </c>
    </row>
    <row r="153" spans="1:8" x14ac:dyDescent="0.3">
      <c r="A153" s="8">
        <v>134</v>
      </c>
      <c r="B153" s="9">
        <f t="shared" si="12"/>
        <v>-615317157.93103325</v>
      </c>
      <c r="C153" s="9">
        <f t="shared" si="13"/>
        <v>37931034.482758626</v>
      </c>
      <c r="D153" s="9">
        <f t="shared" si="14"/>
        <v>-653248192.41379189</v>
      </c>
      <c r="E153" s="9">
        <f t="shared" si="17"/>
        <v>-5044387586.2068872</v>
      </c>
      <c r="F153" s="9" t="str">
        <f t="shared" ca="1" si="15"/>
        <v/>
      </c>
      <c r="G153" s="9"/>
      <c r="H153" s="10">
        <f t="shared" si="16"/>
        <v>11465.51724137929</v>
      </c>
    </row>
    <row r="154" spans="1:8" x14ac:dyDescent="0.3">
      <c r="A154" s="5">
        <v>135</v>
      </c>
      <c r="B154" s="6">
        <f t="shared" si="12"/>
        <v>-620229226.89655054</v>
      </c>
      <c r="C154" s="6">
        <f t="shared" si="13"/>
        <v>37931034.482758626</v>
      </c>
      <c r="D154" s="6">
        <f t="shared" si="14"/>
        <v>-658160261.37930918</v>
      </c>
      <c r="E154" s="6">
        <f t="shared" si="17"/>
        <v>-5082318620.6896458</v>
      </c>
      <c r="F154" s="6" t="str">
        <f t="shared" ca="1" si="15"/>
        <v/>
      </c>
      <c r="G154" s="6"/>
      <c r="H154" s="7">
        <f t="shared" si="16"/>
        <v>11551.724137931013</v>
      </c>
    </row>
    <row r="155" spans="1:8" x14ac:dyDescent="0.3">
      <c r="A155" s="8">
        <v>136</v>
      </c>
      <c r="B155" s="9">
        <f t="shared" si="12"/>
        <v>-625141295.8620677</v>
      </c>
      <c r="C155" s="9">
        <f t="shared" si="13"/>
        <v>37931034.482758626</v>
      </c>
      <c r="D155" s="9">
        <f t="shared" si="14"/>
        <v>-663072330.34482634</v>
      </c>
      <c r="E155" s="9">
        <f t="shared" si="17"/>
        <v>-5120249655.1724043</v>
      </c>
      <c r="F155" s="9" t="str">
        <f t="shared" ca="1" si="15"/>
        <v/>
      </c>
      <c r="G155" s="9"/>
      <c r="H155" s="10">
        <f t="shared" si="16"/>
        <v>11637.931034482737</v>
      </c>
    </row>
    <row r="156" spans="1:8" x14ac:dyDescent="0.3">
      <c r="A156" s="5">
        <v>137</v>
      </c>
      <c r="B156" s="6">
        <f t="shared" si="12"/>
        <v>-630053364.82758498</v>
      </c>
      <c r="C156" s="6">
        <f t="shared" si="13"/>
        <v>37931034.482758626</v>
      </c>
      <c r="D156" s="6">
        <f t="shared" si="14"/>
        <v>-667984399.31034362</v>
      </c>
      <c r="E156" s="6">
        <f t="shared" si="17"/>
        <v>-5158180689.6551628</v>
      </c>
      <c r="F156" s="6" t="str">
        <f t="shared" ca="1" si="15"/>
        <v/>
      </c>
      <c r="G156" s="6"/>
      <c r="H156" s="7">
        <f t="shared" si="16"/>
        <v>11724.13793103446</v>
      </c>
    </row>
    <row r="157" spans="1:8" x14ac:dyDescent="0.3">
      <c r="A157" s="8">
        <v>138</v>
      </c>
      <c r="B157" s="9">
        <f t="shared" si="12"/>
        <v>-634965433.79310215</v>
      </c>
      <c r="C157" s="9">
        <f t="shared" si="13"/>
        <v>37931034.482758626</v>
      </c>
      <c r="D157" s="9">
        <f t="shared" si="14"/>
        <v>-672896468.27586079</v>
      </c>
      <c r="E157" s="9">
        <f t="shared" si="17"/>
        <v>-5196111724.1379213</v>
      </c>
      <c r="F157" s="9" t="str">
        <f t="shared" ca="1" si="15"/>
        <v/>
      </c>
      <c r="G157" s="9"/>
      <c r="H157" s="10">
        <f t="shared" si="16"/>
        <v>11810.344827586185</v>
      </c>
    </row>
    <row r="158" spans="1:8" x14ac:dyDescent="0.3">
      <c r="A158" s="5">
        <v>139</v>
      </c>
      <c r="B158" s="6">
        <f t="shared" si="12"/>
        <v>-639877502.75861943</v>
      </c>
      <c r="C158" s="6">
        <f t="shared" si="13"/>
        <v>37931034.482758626</v>
      </c>
      <c r="D158" s="6">
        <f t="shared" si="14"/>
        <v>-677808537.24137807</v>
      </c>
      <c r="E158" s="6">
        <f t="shared" si="17"/>
        <v>-5234042758.6206799</v>
      </c>
      <c r="F158" s="6" t="str">
        <f t="shared" ca="1" si="15"/>
        <v/>
      </c>
      <c r="G158" s="6"/>
      <c r="H158" s="7">
        <f t="shared" si="16"/>
        <v>11896.551724137909</v>
      </c>
    </row>
    <row r="159" spans="1:8" x14ac:dyDescent="0.3">
      <c r="A159" s="8">
        <v>140</v>
      </c>
      <c r="B159" s="9">
        <f t="shared" si="12"/>
        <v>-644789571.72413659</v>
      </c>
      <c r="C159" s="9">
        <f t="shared" si="13"/>
        <v>37931034.482758626</v>
      </c>
      <c r="D159" s="9">
        <f t="shared" si="14"/>
        <v>-682720606.20689523</v>
      </c>
      <c r="E159" s="9">
        <f t="shared" si="17"/>
        <v>-5271973793.1034384</v>
      </c>
      <c r="F159" s="9" t="str">
        <f t="shared" ca="1" si="15"/>
        <v/>
      </c>
      <c r="G159" s="9"/>
      <c r="H159" s="10">
        <f t="shared" si="16"/>
        <v>11982.758620689632</v>
      </c>
    </row>
    <row r="160" spans="1:8" x14ac:dyDescent="0.3">
      <c r="A160" s="5">
        <v>141</v>
      </c>
      <c r="B160" s="6">
        <f t="shared" si="12"/>
        <v>-649701640.68965387</v>
      </c>
      <c r="C160" s="6">
        <f t="shared" si="13"/>
        <v>37931034.482758626</v>
      </c>
      <c r="D160" s="6">
        <f t="shared" si="14"/>
        <v>-687632675.17241251</v>
      </c>
      <c r="E160" s="6">
        <f t="shared" si="17"/>
        <v>-5309904827.5861969</v>
      </c>
      <c r="F160" s="6" t="str">
        <f t="shared" ca="1" si="15"/>
        <v/>
      </c>
      <c r="G160" s="6"/>
      <c r="H160" s="7">
        <f t="shared" si="16"/>
        <v>12068.965517241357</v>
      </c>
    </row>
    <row r="161" spans="1:8" x14ac:dyDescent="0.3">
      <c r="A161" s="8">
        <v>142</v>
      </c>
      <c r="B161" s="9">
        <f t="shared" si="12"/>
        <v>-654613709.65517116</v>
      </c>
      <c r="C161" s="9">
        <f t="shared" si="13"/>
        <v>37931034.482758626</v>
      </c>
      <c r="D161" s="9">
        <f t="shared" si="14"/>
        <v>-692544744.1379298</v>
      </c>
      <c r="E161" s="9">
        <f t="shared" si="17"/>
        <v>-5347835862.0689554</v>
      </c>
      <c r="F161" s="9" t="str">
        <f t="shared" ca="1" si="15"/>
        <v/>
      </c>
      <c r="G161" s="9"/>
      <c r="H161" s="10">
        <f t="shared" si="16"/>
        <v>12155.17241379308</v>
      </c>
    </row>
    <row r="162" spans="1:8" x14ac:dyDescent="0.3">
      <c r="A162" s="5">
        <v>143</v>
      </c>
      <c r="B162" s="6">
        <f t="shared" si="12"/>
        <v>-659525778.62068832</v>
      </c>
      <c r="C162" s="6">
        <f t="shared" si="13"/>
        <v>37931034.482758626</v>
      </c>
      <c r="D162" s="6">
        <f t="shared" si="14"/>
        <v>-697456813.10344696</v>
      </c>
      <c r="E162" s="6">
        <f t="shared" si="17"/>
        <v>-5385766896.5517139</v>
      </c>
      <c r="F162" s="6" t="str">
        <f t="shared" ca="1" si="15"/>
        <v/>
      </c>
      <c r="G162" s="6"/>
      <c r="H162" s="7">
        <f t="shared" si="16"/>
        <v>12241.379310344804</v>
      </c>
    </row>
    <row r="163" spans="1:8" x14ac:dyDescent="0.3">
      <c r="A163" s="8">
        <v>144</v>
      </c>
      <c r="B163" s="9">
        <f t="shared" si="12"/>
        <v>-664437847.5862056</v>
      </c>
      <c r="C163" s="9">
        <f t="shared" si="13"/>
        <v>37931034.482758626</v>
      </c>
      <c r="D163" s="9">
        <f t="shared" si="14"/>
        <v>-702368882.06896424</v>
      </c>
      <c r="E163" s="9">
        <f t="shared" si="17"/>
        <v>-5423697931.0344725</v>
      </c>
      <c r="F163" s="9" t="str">
        <f t="shared" ca="1" si="15"/>
        <v/>
      </c>
      <c r="G163" s="9"/>
      <c r="H163" s="10">
        <f t="shared" si="16"/>
        <v>12327.586206896529</v>
      </c>
    </row>
    <row r="164" spans="1:8" x14ac:dyDescent="0.3">
      <c r="A164" s="5">
        <v>145</v>
      </c>
      <c r="B164" s="6">
        <f t="shared" si="12"/>
        <v>-669349916.55172276</v>
      </c>
      <c r="C164" s="6">
        <f t="shared" si="13"/>
        <v>37931034.482758626</v>
      </c>
      <c r="D164" s="6">
        <f t="shared" si="14"/>
        <v>-707280951.03448141</v>
      </c>
      <c r="E164" s="6">
        <f t="shared" si="17"/>
        <v>-5461628965.517231</v>
      </c>
      <c r="F164" s="6" t="str">
        <f t="shared" ca="1" si="15"/>
        <v/>
      </c>
      <c r="G164" s="6"/>
      <c r="H164" s="7">
        <f t="shared" si="16"/>
        <v>12413.793103448252</v>
      </c>
    </row>
    <row r="165" spans="1:8" x14ac:dyDescent="0.3">
      <c r="A165" s="8">
        <v>146</v>
      </c>
      <c r="B165" s="9">
        <f t="shared" si="12"/>
        <v>-674261985.51724005</v>
      </c>
      <c r="C165" s="9">
        <f t="shared" si="13"/>
        <v>37931034.482758626</v>
      </c>
      <c r="D165" s="9">
        <f t="shared" si="14"/>
        <v>-712193019.99999869</v>
      </c>
      <c r="E165" s="9">
        <f t="shared" si="17"/>
        <v>-5499559999.9999895</v>
      </c>
      <c r="F165" s="9" t="str">
        <f t="shared" ca="1" si="15"/>
        <v/>
      </c>
      <c r="G165" s="9"/>
      <c r="H165" s="10">
        <f t="shared" si="16"/>
        <v>12499.999999999976</v>
      </c>
    </row>
    <row r="166" spans="1:8" x14ac:dyDescent="0.3">
      <c r="A166" s="5">
        <v>147</v>
      </c>
      <c r="B166" s="6">
        <f t="shared" si="12"/>
        <v>-679174054.48275721</v>
      </c>
      <c r="C166" s="6">
        <f t="shared" si="13"/>
        <v>37931034.482758626</v>
      </c>
      <c r="D166" s="6">
        <f t="shared" si="14"/>
        <v>-717105088.96551585</v>
      </c>
      <c r="E166" s="6">
        <f t="shared" si="17"/>
        <v>-5537491034.482748</v>
      </c>
      <c r="F166" s="6" t="str">
        <f t="shared" ca="1" si="15"/>
        <v/>
      </c>
      <c r="G166" s="6"/>
      <c r="H166" s="7">
        <f t="shared" si="16"/>
        <v>12586.206896551699</v>
      </c>
    </row>
    <row r="167" spans="1:8" x14ac:dyDescent="0.3">
      <c r="A167" s="8">
        <v>148</v>
      </c>
      <c r="B167" s="9">
        <f t="shared" si="12"/>
        <v>-684086123.44827449</v>
      </c>
      <c r="C167" s="9">
        <f t="shared" si="13"/>
        <v>37931034.482758626</v>
      </c>
      <c r="D167" s="9">
        <f t="shared" si="14"/>
        <v>-722017157.93103313</v>
      </c>
      <c r="E167" s="9">
        <f t="shared" si="17"/>
        <v>-5575422068.9655066</v>
      </c>
      <c r="F167" s="9" t="str">
        <f t="shared" ca="1" si="15"/>
        <v/>
      </c>
      <c r="G167" s="9"/>
      <c r="H167" s="10">
        <f t="shared" si="16"/>
        <v>12672.413793103424</v>
      </c>
    </row>
    <row r="168" spans="1:8" x14ac:dyDescent="0.3">
      <c r="A168" s="5">
        <v>149</v>
      </c>
      <c r="B168" s="6">
        <f t="shared" si="12"/>
        <v>-688998192.41379166</v>
      </c>
      <c r="C168" s="6">
        <f t="shared" si="13"/>
        <v>37931034.482758626</v>
      </c>
      <c r="D168" s="6">
        <f t="shared" si="14"/>
        <v>-726929226.8965503</v>
      </c>
      <c r="E168" s="6">
        <f t="shared" si="17"/>
        <v>-5613353103.4482651</v>
      </c>
      <c r="F168" s="6" t="str">
        <f t="shared" ca="1" si="15"/>
        <v/>
      </c>
      <c r="G168" s="6"/>
      <c r="H168" s="7">
        <f t="shared" si="16"/>
        <v>12758.620689655148</v>
      </c>
    </row>
    <row r="169" spans="1:8" x14ac:dyDescent="0.3">
      <c r="A169" s="8">
        <v>150</v>
      </c>
      <c r="B169" s="9">
        <f t="shared" si="12"/>
        <v>-693910261.37930894</v>
      </c>
      <c r="C169" s="9">
        <f t="shared" si="13"/>
        <v>37931034.482758626</v>
      </c>
      <c r="D169" s="9">
        <f t="shared" si="14"/>
        <v>-731841295.86206758</v>
      </c>
      <c r="E169" s="9">
        <f t="shared" si="17"/>
        <v>-5651284137.9310236</v>
      </c>
      <c r="F169" s="9" t="str">
        <f t="shared" ca="1" si="15"/>
        <v/>
      </c>
      <c r="G169" s="9"/>
      <c r="H169" s="10">
        <f t="shared" si="16"/>
        <v>12844.827586206871</v>
      </c>
    </row>
    <row r="170" spans="1:8" x14ac:dyDescent="0.3">
      <c r="A170" s="5">
        <v>151</v>
      </c>
      <c r="B170" s="6">
        <f t="shared" si="12"/>
        <v>-698822330.34482622</v>
      </c>
      <c r="C170" s="6">
        <f t="shared" si="13"/>
        <v>37931034.482758626</v>
      </c>
      <c r="D170" s="6">
        <f t="shared" si="14"/>
        <v>-736753364.82758486</v>
      </c>
      <c r="E170" s="6">
        <f t="shared" si="17"/>
        <v>-5689215172.4137821</v>
      </c>
      <c r="F170" s="6" t="str">
        <f t="shared" ca="1" si="15"/>
        <v/>
      </c>
      <c r="G170" s="6"/>
      <c r="H170" s="7">
        <f t="shared" si="16"/>
        <v>12931.034482758596</v>
      </c>
    </row>
    <row r="171" spans="1:8" x14ac:dyDescent="0.3">
      <c r="A171" s="8">
        <v>152</v>
      </c>
      <c r="B171" s="9">
        <f t="shared" si="12"/>
        <v>-703734399.31034338</v>
      </c>
      <c r="C171" s="9">
        <f t="shared" si="13"/>
        <v>37931034.482758626</v>
      </c>
      <c r="D171" s="9">
        <f t="shared" si="14"/>
        <v>-741665433.79310203</v>
      </c>
      <c r="E171" s="9">
        <f t="shared" si="17"/>
        <v>-5727146206.8965406</v>
      </c>
      <c r="F171" s="9" t="str">
        <f t="shared" ca="1" si="15"/>
        <v/>
      </c>
      <c r="G171" s="9"/>
      <c r="H171" s="10">
        <f t="shared" si="16"/>
        <v>13017.241379310319</v>
      </c>
    </row>
    <row r="172" spans="1:8" x14ac:dyDescent="0.3">
      <c r="A172" s="5">
        <v>153</v>
      </c>
      <c r="B172" s="6">
        <f t="shared" si="12"/>
        <v>-708646468.27586067</v>
      </c>
      <c r="C172" s="6">
        <f t="shared" si="13"/>
        <v>37931034.482758626</v>
      </c>
      <c r="D172" s="6">
        <f t="shared" si="14"/>
        <v>-746577502.75861931</v>
      </c>
      <c r="E172" s="6">
        <f t="shared" si="17"/>
        <v>-5765077241.3792992</v>
      </c>
      <c r="F172" s="6" t="str">
        <f t="shared" ca="1" si="15"/>
        <v/>
      </c>
      <c r="G172" s="6"/>
      <c r="H172" s="7">
        <f t="shared" si="16"/>
        <v>13103.448275862043</v>
      </c>
    </row>
    <row r="173" spans="1:8" x14ac:dyDescent="0.3">
      <c r="A173" s="8">
        <v>154</v>
      </c>
      <c r="B173" s="9">
        <f t="shared" si="12"/>
        <v>-713558537.24137783</v>
      </c>
      <c r="C173" s="9">
        <f t="shared" si="13"/>
        <v>37931034.482758626</v>
      </c>
      <c r="D173" s="9">
        <f t="shared" si="14"/>
        <v>-751489571.72413647</v>
      </c>
      <c r="E173" s="9">
        <f t="shared" si="17"/>
        <v>-5803008275.8620577</v>
      </c>
      <c r="F173" s="9" t="str">
        <f t="shared" ca="1" si="15"/>
        <v/>
      </c>
      <c r="G173" s="9"/>
      <c r="H173" s="10">
        <f t="shared" si="16"/>
        <v>13189.655172413768</v>
      </c>
    </row>
    <row r="174" spans="1:8" x14ac:dyDescent="0.3">
      <c r="A174" s="5">
        <v>155</v>
      </c>
      <c r="B174" s="6">
        <f t="shared" si="12"/>
        <v>-718470606.20689511</v>
      </c>
      <c r="C174" s="6">
        <f t="shared" si="13"/>
        <v>37931034.482758626</v>
      </c>
      <c r="D174" s="6">
        <f t="shared" si="14"/>
        <v>-756401640.68965375</v>
      </c>
      <c r="E174" s="6">
        <f t="shared" si="17"/>
        <v>-5840939310.3448162</v>
      </c>
      <c r="F174" s="6" t="str">
        <f t="shared" ca="1" si="15"/>
        <v/>
      </c>
      <c r="G174" s="6"/>
      <c r="H174" s="7">
        <f t="shared" si="16"/>
        <v>13275.862068965491</v>
      </c>
    </row>
    <row r="175" spans="1:8" x14ac:dyDescent="0.3">
      <c r="A175" s="8">
        <v>156</v>
      </c>
      <c r="B175" s="9">
        <f t="shared" si="12"/>
        <v>-723382675.17241228</v>
      </c>
      <c r="C175" s="9">
        <f t="shared" si="13"/>
        <v>37931034.482758626</v>
      </c>
      <c r="D175" s="9">
        <f t="shared" si="14"/>
        <v>-761313709.65517092</v>
      </c>
      <c r="E175" s="9">
        <f t="shared" si="17"/>
        <v>-5878870344.8275747</v>
      </c>
      <c r="F175" s="9" t="str">
        <f t="shared" ca="1" si="15"/>
        <v/>
      </c>
      <c r="G175" s="9"/>
      <c r="H175" s="10">
        <f t="shared" si="16"/>
        <v>13362.068965517215</v>
      </c>
    </row>
    <row r="176" spans="1:8" x14ac:dyDescent="0.3">
      <c r="A176" s="5">
        <v>157</v>
      </c>
      <c r="B176" s="6">
        <f t="shared" si="12"/>
        <v>-728294744.13792956</v>
      </c>
      <c r="C176" s="6">
        <f t="shared" si="13"/>
        <v>37931034.482758626</v>
      </c>
      <c r="D176" s="6">
        <f t="shared" si="14"/>
        <v>-766225778.6206882</v>
      </c>
      <c r="E176" s="6">
        <f t="shared" si="17"/>
        <v>-5916801379.3103333</v>
      </c>
      <c r="F176" s="6" t="str">
        <f t="shared" ca="1" si="15"/>
        <v/>
      </c>
      <c r="G176" s="6"/>
      <c r="H176" s="7">
        <f t="shared" si="16"/>
        <v>13448.27586206894</v>
      </c>
    </row>
    <row r="177" spans="1:8" x14ac:dyDescent="0.3">
      <c r="A177" s="8">
        <v>158</v>
      </c>
      <c r="B177" s="9">
        <f t="shared" si="12"/>
        <v>-733206813.10344672</v>
      </c>
      <c r="C177" s="9">
        <f t="shared" si="13"/>
        <v>37931034.482758626</v>
      </c>
      <c r="D177" s="9">
        <f t="shared" si="14"/>
        <v>-771137847.58620536</v>
      </c>
      <c r="E177" s="9">
        <f t="shared" si="17"/>
        <v>-5954732413.7930918</v>
      </c>
      <c r="F177" s="9" t="str">
        <f t="shared" ca="1" si="15"/>
        <v/>
      </c>
      <c r="G177" s="9"/>
      <c r="H177" s="10">
        <f t="shared" si="16"/>
        <v>13534.482758620663</v>
      </c>
    </row>
    <row r="178" spans="1:8" x14ac:dyDescent="0.3">
      <c r="A178" s="5">
        <v>159</v>
      </c>
      <c r="B178" s="6">
        <f t="shared" si="12"/>
        <v>-738118882.068964</v>
      </c>
      <c r="C178" s="6">
        <f t="shared" si="13"/>
        <v>37931034.482758626</v>
      </c>
      <c r="D178" s="6">
        <f t="shared" si="14"/>
        <v>-776049916.55172265</v>
      </c>
      <c r="E178" s="6">
        <f t="shared" si="17"/>
        <v>-5992663448.2758503</v>
      </c>
      <c r="F178" s="6" t="str">
        <f t="shared" ca="1" si="15"/>
        <v/>
      </c>
      <c r="G178" s="6"/>
      <c r="H178" s="7">
        <f t="shared" si="16"/>
        <v>13620.689655172388</v>
      </c>
    </row>
    <row r="179" spans="1:8" x14ac:dyDescent="0.3">
      <c r="A179" s="8">
        <v>160</v>
      </c>
      <c r="B179" s="9">
        <f t="shared" si="12"/>
        <v>-743030951.03448117</v>
      </c>
      <c r="C179" s="9">
        <f t="shared" si="13"/>
        <v>37931034.482758626</v>
      </c>
      <c r="D179" s="9">
        <f t="shared" si="14"/>
        <v>-780961985.51723981</v>
      </c>
      <c r="E179" s="9">
        <f t="shared" si="17"/>
        <v>-6030594482.7586088</v>
      </c>
      <c r="F179" s="9" t="str">
        <f t="shared" ca="1" si="15"/>
        <v/>
      </c>
      <c r="G179" s="9"/>
      <c r="H179" s="10">
        <f t="shared" si="16"/>
        <v>13706.89655172411</v>
      </c>
    </row>
    <row r="180" spans="1:8" x14ac:dyDescent="0.3">
      <c r="A180" s="5">
        <v>161</v>
      </c>
      <c r="B180" s="6">
        <f t="shared" si="12"/>
        <v>-747943019.99999845</v>
      </c>
      <c r="C180" s="6">
        <f t="shared" si="13"/>
        <v>37931034.482758626</v>
      </c>
      <c r="D180" s="6">
        <f t="shared" si="14"/>
        <v>-785874054.48275709</v>
      </c>
      <c r="E180" s="6">
        <f t="shared" si="17"/>
        <v>-6068525517.2413673</v>
      </c>
      <c r="F180" s="6" t="str">
        <f t="shared" ca="1" si="15"/>
        <v/>
      </c>
      <c r="G180" s="6"/>
      <c r="H180" s="7">
        <f t="shared" si="16"/>
        <v>13793.103448275835</v>
      </c>
    </row>
    <row r="181" spans="1:8" x14ac:dyDescent="0.3">
      <c r="A181" s="8">
        <v>162</v>
      </c>
      <c r="B181" s="9">
        <f t="shared" si="12"/>
        <v>-752855088.96551573</v>
      </c>
      <c r="C181" s="9">
        <f t="shared" si="13"/>
        <v>37931034.482758626</v>
      </c>
      <c r="D181" s="9">
        <f t="shared" si="14"/>
        <v>-790786123.44827437</v>
      </c>
      <c r="E181" s="9">
        <f t="shared" si="17"/>
        <v>-6106456551.7241259</v>
      </c>
      <c r="F181" s="9" t="str">
        <f t="shared" ca="1" si="15"/>
        <v/>
      </c>
      <c r="G181" s="9"/>
      <c r="H181" s="10">
        <f t="shared" si="16"/>
        <v>13879.31034482756</v>
      </c>
    </row>
    <row r="182" spans="1:8" x14ac:dyDescent="0.3">
      <c r="A182" s="5">
        <v>163</v>
      </c>
      <c r="B182" s="6">
        <f t="shared" si="12"/>
        <v>-757767157.9310329</v>
      </c>
      <c r="C182" s="6">
        <f t="shared" si="13"/>
        <v>37931034.482758626</v>
      </c>
      <c r="D182" s="6">
        <f t="shared" si="14"/>
        <v>-795698192.41379154</v>
      </c>
      <c r="E182" s="6">
        <f t="shared" si="17"/>
        <v>-6144387586.2068844</v>
      </c>
      <c r="F182" s="6" t="str">
        <f t="shared" ca="1" si="15"/>
        <v/>
      </c>
      <c r="G182" s="6"/>
      <c r="H182" s="7">
        <f t="shared" si="16"/>
        <v>13965.517241379282</v>
      </c>
    </row>
    <row r="183" spans="1:8" x14ac:dyDescent="0.3">
      <c r="A183" s="8">
        <v>164</v>
      </c>
      <c r="B183" s="9">
        <f t="shared" si="12"/>
        <v>-762679226.89655018</v>
      </c>
      <c r="C183" s="9">
        <f t="shared" si="13"/>
        <v>37931034.482758626</v>
      </c>
      <c r="D183" s="9">
        <f t="shared" si="14"/>
        <v>-800610261.37930882</v>
      </c>
      <c r="E183" s="9">
        <f t="shared" si="17"/>
        <v>-6182318620.6896429</v>
      </c>
      <c r="F183" s="9" t="str">
        <f t="shared" ca="1" si="15"/>
        <v/>
      </c>
      <c r="G183" s="9"/>
      <c r="H183" s="10">
        <f t="shared" si="16"/>
        <v>14051.724137931007</v>
      </c>
    </row>
    <row r="184" spans="1:8" x14ac:dyDescent="0.3">
      <c r="A184" s="5">
        <v>165</v>
      </c>
      <c r="B184" s="6">
        <f t="shared" si="12"/>
        <v>-767591295.86206734</v>
      </c>
      <c r="C184" s="6">
        <f t="shared" si="13"/>
        <v>37931034.482758626</v>
      </c>
      <c r="D184" s="6">
        <f t="shared" si="14"/>
        <v>-805522330.34482598</v>
      </c>
      <c r="E184" s="6">
        <f t="shared" si="17"/>
        <v>-6220249655.1724014</v>
      </c>
      <c r="F184" s="6" t="str">
        <f t="shared" ca="1" si="15"/>
        <v/>
      </c>
      <c r="G184" s="6"/>
      <c r="H184" s="7">
        <f t="shared" si="16"/>
        <v>14137.93103448273</v>
      </c>
    </row>
    <row r="185" spans="1:8" x14ac:dyDescent="0.3">
      <c r="A185" s="8">
        <v>166</v>
      </c>
      <c r="B185" s="9">
        <f t="shared" si="12"/>
        <v>-772503364.82758462</v>
      </c>
      <c r="C185" s="9">
        <f t="shared" si="13"/>
        <v>37931034.482758626</v>
      </c>
      <c r="D185" s="9">
        <f t="shared" si="14"/>
        <v>-810434399.31034327</v>
      </c>
      <c r="E185" s="9">
        <f t="shared" si="17"/>
        <v>-6258180689.65516</v>
      </c>
      <c r="F185" s="9" t="str">
        <f t="shared" ca="1" si="15"/>
        <v/>
      </c>
      <c r="G185" s="9"/>
      <c r="H185" s="10">
        <f t="shared" si="16"/>
        <v>14224.137931034455</v>
      </c>
    </row>
    <row r="186" spans="1:8" x14ac:dyDescent="0.3">
      <c r="A186" s="5">
        <v>167</v>
      </c>
      <c r="B186" s="6">
        <f t="shared" si="12"/>
        <v>-777415433.79310179</v>
      </c>
      <c r="C186" s="6">
        <f t="shared" si="13"/>
        <v>37931034.482758626</v>
      </c>
      <c r="D186" s="6">
        <f t="shared" si="14"/>
        <v>-815346468.27586043</v>
      </c>
      <c r="E186" s="6">
        <f t="shared" si="17"/>
        <v>-6296111724.1379185</v>
      </c>
      <c r="F186" s="6" t="str">
        <f t="shared" ca="1" si="15"/>
        <v/>
      </c>
      <c r="G186" s="6"/>
      <c r="H186" s="7">
        <f t="shared" si="16"/>
        <v>14310.344827586179</v>
      </c>
    </row>
    <row r="187" spans="1:8" x14ac:dyDescent="0.3">
      <c r="A187" s="8">
        <v>168</v>
      </c>
      <c r="B187" s="9">
        <f t="shared" si="12"/>
        <v>-782327502.75861907</v>
      </c>
      <c r="C187" s="9">
        <f t="shared" si="13"/>
        <v>37931034.482758626</v>
      </c>
      <c r="D187" s="9">
        <f t="shared" si="14"/>
        <v>-820258537.24137771</v>
      </c>
      <c r="E187" s="9">
        <f t="shared" si="17"/>
        <v>-6334042758.620677</v>
      </c>
      <c r="F187" s="9" t="str">
        <f t="shared" ca="1" si="15"/>
        <v/>
      </c>
      <c r="G187" s="9"/>
      <c r="H187" s="10">
        <f t="shared" si="16"/>
        <v>14396.551724137902</v>
      </c>
    </row>
    <row r="188" spans="1:8" x14ac:dyDescent="0.3">
      <c r="A188" s="5">
        <v>169</v>
      </c>
      <c r="B188" s="6">
        <f t="shared" si="12"/>
        <v>-787239571.72413623</v>
      </c>
      <c r="C188" s="6">
        <f t="shared" si="13"/>
        <v>37931034.482758626</v>
      </c>
      <c r="D188" s="6">
        <f t="shared" si="14"/>
        <v>-825170606.20689487</v>
      </c>
      <c r="E188" s="6">
        <f t="shared" si="17"/>
        <v>-6371973793.1034355</v>
      </c>
      <c r="F188" s="6" t="str">
        <f t="shared" ca="1" si="15"/>
        <v/>
      </c>
      <c r="G188" s="6"/>
      <c r="H188" s="7">
        <f t="shared" si="16"/>
        <v>14482.758620689627</v>
      </c>
    </row>
    <row r="189" spans="1:8" x14ac:dyDescent="0.3">
      <c r="A189" s="8">
        <v>170</v>
      </c>
      <c r="B189" s="9">
        <f t="shared" si="12"/>
        <v>-792151640.68965352</v>
      </c>
      <c r="C189" s="9">
        <f t="shared" si="13"/>
        <v>37931034.482758626</v>
      </c>
      <c r="D189" s="9">
        <f t="shared" si="14"/>
        <v>-830082675.17241216</v>
      </c>
      <c r="E189" s="9">
        <f t="shared" si="17"/>
        <v>-6409904827.586194</v>
      </c>
      <c r="F189" s="9" t="str">
        <f t="shared" ca="1" si="15"/>
        <v/>
      </c>
      <c r="G189" s="9"/>
      <c r="H189" s="10">
        <f t="shared" si="16"/>
        <v>14568.96551724135</v>
      </c>
    </row>
    <row r="190" spans="1:8" x14ac:dyDescent="0.3">
      <c r="A190" s="5">
        <v>171</v>
      </c>
      <c r="B190" s="6">
        <f t="shared" si="12"/>
        <v>-797063709.6551708</v>
      </c>
      <c r="C190" s="6">
        <f t="shared" si="13"/>
        <v>37931034.482758626</v>
      </c>
      <c r="D190" s="6">
        <f t="shared" si="14"/>
        <v>-834994744.13792944</v>
      </c>
      <c r="E190" s="6">
        <f t="shared" si="17"/>
        <v>-6447835862.0689526</v>
      </c>
      <c r="F190" s="6" t="str">
        <f t="shared" ca="1" si="15"/>
        <v/>
      </c>
      <c r="G190" s="6"/>
      <c r="H190" s="7">
        <f t="shared" si="16"/>
        <v>14655.172413793074</v>
      </c>
    </row>
    <row r="191" spans="1:8" x14ac:dyDescent="0.3">
      <c r="A191" s="8">
        <v>172</v>
      </c>
      <c r="B191" s="9">
        <f t="shared" si="12"/>
        <v>-801975778.62068796</v>
      </c>
      <c r="C191" s="9">
        <f t="shared" si="13"/>
        <v>37931034.482758626</v>
      </c>
      <c r="D191" s="9">
        <f t="shared" si="14"/>
        <v>-839906813.1034466</v>
      </c>
      <c r="E191" s="9">
        <f t="shared" si="17"/>
        <v>-6485766896.5517111</v>
      </c>
      <c r="F191" s="9" t="str">
        <f t="shared" ca="1" si="15"/>
        <v/>
      </c>
      <c r="G191" s="9"/>
      <c r="H191" s="10">
        <f t="shared" si="16"/>
        <v>14741.379310344799</v>
      </c>
    </row>
    <row r="192" spans="1:8" x14ac:dyDescent="0.3">
      <c r="A192" s="5">
        <v>173</v>
      </c>
      <c r="B192" s="6">
        <f t="shared" si="12"/>
        <v>-806887847.58620524</v>
      </c>
      <c r="C192" s="6">
        <f t="shared" si="13"/>
        <v>37931034.482758626</v>
      </c>
      <c r="D192" s="6">
        <f t="shared" si="14"/>
        <v>-844818882.06896389</v>
      </c>
      <c r="E192" s="6">
        <f t="shared" si="17"/>
        <v>-6523697931.0344696</v>
      </c>
      <c r="F192" s="6" t="str">
        <f t="shared" ca="1" si="15"/>
        <v/>
      </c>
      <c r="G192" s="6"/>
      <c r="H192" s="7">
        <f t="shared" si="16"/>
        <v>14827.586206896522</v>
      </c>
    </row>
    <row r="193" spans="1:8" x14ac:dyDescent="0.3">
      <c r="A193" s="8">
        <v>174</v>
      </c>
      <c r="B193" s="9">
        <f t="shared" si="12"/>
        <v>-811799916.55172241</v>
      </c>
      <c r="C193" s="9">
        <f t="shared" si="13"/>
        <v>37931034.482758626</v>
      </c>
      <c r="D193" s="9">
        <f t="shared" si="14"/>
        <v>-849730951.03448105</v>
      </c>
      <c r="E193" s="9">
        <f t="shared" si="17"/>
        <v>-6561628965.5172281</v>
      </c>
      <c r="F193" s="9" t="str">
        <f t="shared" ca="1" si="15"/>
        <v/>
      </c>
      <c r="G193" s="9"/>
      <c r="H193" s="10">
        <f t="shared" si="16"/>
        <v>14913.793103448246</v>
      </c>
    </row>
    <row r="194" spans="1:8" x14ac:dyDescent="0.3">
      <c r="A194" s="5">
        <v>175</v>
      </c>
      <c r="B194" s="6">
        <f t="shared" si="12"/>
        <v>-816711985.51723969</v>
      </c>
      <c r="C194" s="6">
        <f t="shared" si="13"/>
        <v>37931034.482758626</v>
      </c>
      <c r="D194" s="6">
        <f t="shared" si="14"/>
        <v>-854643019.99999833</v>
      </c>
      <c r="E194" s="6">
        <f t="shared" si="17"/>
        <v>-6599559999.9999866</v>
      </c>
      <c r="F194" s="6" t="str">
        <f t="shared" ca="1" si="15"/>
        <v/>
      </c>
      <c r="G194" s="6"/>
      <c r="H194" s="7">
        <f t="shared" si="16"/>
        <v>14999.999999999969</v>
      </c>
    </row>
    <row r="195" spans="1:8" x14ac:dyDescent="0.3">
      <c r="A195" s="8">
        <v>176</v>
      </c>
      <c r="B195" s="9">
        <f t="shared" si="12"/>
        <v>-821624054.48275685</v>
      </c>
      <c r="C195" s="9">
        <f t="shared" si="13"/>
        <v>37931034.482758626</v>
      </c>
      <c r="D195" s="9">
        <f t="shared" si="14"/>
        <v>-859555088.96551549</v>
      </c>
      <c r="E195" s="9">
        <f t="shared" si="17"/>
        <v>-6637491034.4827452</v>
      </c>
      <c r="F195" s="9" t="str">
        <f t="shared" ca="1" si="15"/>
        <v/>
      </c>
      <c r="G195" s="9"/>
      <c r="H195" s="10">
        <f t="shared" si="16"/>
        <v>15086.206896551694</v>
      </c>
    </row>
    <row r="196" spans="1:8" x14ac:dyDescent="0.3">
      <c r="A196" s="5">
        <v>177</v>
      </c>
      <c r="B196" s="6">
        <f t="shared" si="12"/>
        <v>-826536123.44827414</v>
      </c>
      <c r="C196" s="6">
        <f t="shared" si="13"/>
        <v>37931034.482758626</v>
      </c>
      <c r="D196" s="6">
        <f t="shared" si="14"/>
        <v>-864467157.93103278</v>
      </c>
      <c r="E196" s="6">
        <f t="shared" si="17"/>
        <v>-6675422068.9655037</v>
      </c>
      <c r="F196" s="6" t="str">
        <f t="shared" ca="1" si="15"/>
        <v/>
      </c>
      <c r="G196" s="6"/>
      <c r="H196" s="7">
        <f t="shared" si="16"/>
        <v>15172.413793103418</v>
      </c>
    </row>
    <row r="197" spans="1:8" x14ac:dyDescent="0.3">
      <c r="A197" s="8">
        <v>178</v>
      </c>
      <c r="B197" s="9">
        <f t="shared" si="12"/>
        <v>-831448192.4137913</v>
      </c>
      <c r="C197" s="9">
        <f t="shared" si="13"/>
        <v>37931034.482758626</v>
      </c>
      <c r="D197" s="9">
        <f t="shared" si="14"/>
        <v>-869379226.89654994</v>
      </c>
      <c r="E197" s="9">
        <f t="shared" si="17"/>
        <v>-6713353103.4482622</v>
      </c>
      <c r="F197" s="9" t="str">
        <f t="shared" ca="1" si="15"/>
        <v/>
      </c>
      <c r="G197" s="9"/>
      <c r="H197" s="10">
        <f t="shared" si="16"/>
        <v>15258.620689655141</v>
      </c>
    </row>
    <row r="198" spans="1:8" x14ac:dyDescent="0.3">
      <c r="A198" s="5">
        <v>179</v>
      </c>
      <c r="B198" s="6">
        <f t="shared" si="12"/>
        <v>-836360261.37930858</v>
      </c>
      <c r="C198" s="6">
        <f t="shared" si="13"/>
        <v>37931034.482758626</v>
      </c>
      <c r="D198" s="6">
        <f t="shared" si="14"/>
        <v>-874291295.86206722</v>
      </c>
      <c r="E198" s="6">
        <f t="shared" si="17"/>
        <v>-6751284137.9310207</v>
      </c>
      <c r="F198" s="6" t="str">
        <f t="shared" ca="1" si="15"/>
        <v/>
      </c>
      <c r="G198" s="6"/>
      <c r="H198" s="7">
        <f t="shared" si="16"/>
        <v>15344.827586206866</v>
      </c>
    </row>
    <row r="199" spans="1:8" x14ac:dyDescent="0.3">
      <c r="A199" s="8">
        <v>180</v>
      </c>
      <c r="B199" s="9">
        <f t="shared" si="12"/>
        <v>-841272330.34482574</v>
      </c>
      <c r="C199" s="9">
        <f t="shared" si="13"/>
        <v>37931034.482758626</v>
      </c>
      <c r="D199" s="9">
        <f t="shared" si="14"/>
        <v>-879203364.82758439</v>
      </c>
      <c r="E199" s="9">
        <f t="shared" si="17"/>
        <v>-6789215172.4137793</v>
      </c>
      <c r="F199" s="9" t="str">
        <f t="shared" ca="1" si="15"/>
        <v/>
      </c>
      <c r="G199" s="9"/>
      <c r="H199" s="10">
        <f t="shared" si="16"/>
        <v>15431.034482758589</v>
      </c>
    </row>
    <row r="200" spans="1:8" x14ac:dyDescent="0.3">
      <c r="A200" s="5">
        <v>181</v>
      </c>
      <c r="B200" s="6">
        <f t="shared" si="12"/>
        <v>-846184399.31034303</v>
      </c>
      <c r="C200" s="6">
        <f t="shared" si="13"/>
        <v>37931034.482758626</v>
      </c>
      <c r="D200" s="6">
        <f t="shared" si="14"/>
        <v>-884115433.79310167</v>
      </c>
      <c r="E200" s="6">
        <f t="shared" si="17"/>
        <v>-6827146206.8965378</v>
      </c>
      <c r="F200" s="6" t="str">
        <f t="shared" ca="1" si="15"/>
        <v/>
      </c>
      <c r="G200" s="6"/>
      <c r="H200" s="7">
        <f t="shared" si="16"/>
        <v>15517.241379310313</v>
      </c>
    </row>
    <row r="201" spans="1:8" x14ac:dyDescent="0.3">
      <c r="A201" s="8">
        <v>182</v>
      </c>
      <c r="B201" s="9">
        <f t="shared" si="12"/>
        <v>-851096468.27586031</v>
      </c>
      <c r="C201" s="9">
        <f t="shared" si="13"/>
        <v>37931034.482758626</v>
      </c>
      <c r="D201" s="9">
        <f t="shared" si="14"/>
        <v>-889027502.75861895</v>
      </c>
      <c r="E201" s="9">
        <f t="shared" si="17"/>
        <v>-6865077241.3792963</v>
      </c>
      <c r="F201" s="9" t="str">
        <f t="shared" ca="1" si="15"/>
        <v/>
      </c>
      <c r="G201" s="9"/>
      <c r="H201" s="10">
        <f t="shared" si="16"/>
        <v>15603.448275862038</v>
      </c>
    </row>
    <row r="202" spans="1:8" x14ac:dyDescent="0.3">
      <c r="A202" s="5">
        <v>183</v>
      </c>
      <c r="B202" s="6">
        <f t="shared" si="12"/>
        <v>-856008537.24137747</v>
      </c>
      <c r="C202" s="6">
        <f t="shared" si="13"/>
        <v>37931034.482758626</v>
      </c>
      <c r="D202" s="6">
        <f t="shared" si="14"/>
        <v>-893939571.72413611</v>
      </c>
      <c r="E202" s="6">
        <f t="shared" si="17"/>
        <v>-6903008275.8620548</v>
      </c>
      <c r="F202" s="6" t="str">
        <f t="shared" ca="1" si="15"/>
        <v/>
      </c>
      <c r="G202" s="6"/>
      <c r="H202" s="7">
        <f t="shared" si="16"/>
        <v>15689.655172413761</v>
      </c>
    </row>
    <row r="203" spans="1:8" x14ac:dyDescent="0.3">
      <c r="A203" s="8">
        <v>184</v>
      </c>
      <c r="B203" s="9">
        <f t="shared" si="12"/>
        <v>-860920606.20689476</v>
      </c>
      <c r="C203" s="9">
        <f t="shared" si="13"/>
        <v>37931034.482758626</v>
      </c>
      <c r="D203" s="9">
        <f t="shared" si="14"/>
        <v>-898851640.6896534</v>
      </c>
      <c r="E203" s="9">
        <f t="shared" si="17"/>
        <v>-6940939310.3448133</v>
      </c>
      <c r="F203" s="9" t="str">
        <f t="shared" ca="1" si="15"/>
        <v/>
      </c>
      <c r="G203" s="9"/>
      <c r="H203" s="10">
        <f t="shared" si="16"/>
        <v>15775.862068965485</v>
      </c>
    </row>
    <row r="204" spans="1:8" x14ac:dyDescent="0.3">
      <c r="A204" s="5">
        <v>185</v>
      </c>
      <c r="B204" s="6">
        <f t="shared" si="12"/>
        <v>-865832675.17241192</v>
      </c>
      <c r="C204" s="6">
        <f t="shared" si="13"/>
        <v>37931034.482758626</v>
      </c>
      <c r="D204" s="6">
        <f t="shared" si="14"/>
        <v>-903763709.65517056</v>
      </c>
      <c r="E204" s="6">
        <f t="shared" si="17"/>
        <v>-6978870344.8275719</v>
      </c>
      <c r="F204" s="6" t="str">
        <f t="shared" ca="1" si="15"/>
        <v/>
      </c>
      <c r="G204" s="6"/>
      <c r="H204" s="7">
        <f t="shared" si="16"/>
        <v>15862.068965517208</v>
      </c>
    </row>
    <row r="205" spans="1:8" x14ac:dyDescent="0.3">
      <c r="A205" s="8">
        <v>186</v>
      </c>
      <c r="B205" s="9">
        <f t="shared" si="12"/>
        <v>-870744744.1379292</v>
      </c>
      <c r="C205" s="9">
        <f t="shared" si="13"/>
        <v>37931034.482758626</v>
      </c>
      <c r="D205" s="9">
        <f t="shared" si="14"/>
        <v>-908675778.62068784</v>
      </c>
      <c r="E205" s="9">
        <f t="shared" si="17"/>
        <v>-7016801379.3103304</v>
      </c>
      <c r="F205" s="9" t="str">
        <f t="shared" ca="1" si="15"/>
        <v/>
      </c>
      <c r="G205" s="9"/>
      <c r="H205" s="10">
        <f t="shared" si="16"/>
        <v>15948.275862068933</v>
      </c>
    </row>
    <row r="206" spans="1:8" x14ac:dyDescent="0.3">
      <c r="A206" s="5">
        <v>187</v>
      </c>
      <c r="B206" s="6">
        <f t="shared" si="12"/>
        <v>-875656813.10344636</v>
      </c>
      <c r="C206" s="6">
        <f t="shared" si="13"/>
        <v>37931034.482758626</v>
      </c>
      <c r="D206" s="6">
        <f t="shared" si="14"/>
        <v>-913587847.58620501</v>
      </c>
      <c r="E206" s="6">
        <f t="shared" si="17"/>
        <v>-7054732413.7930889</v>
      </c>
      <c r="F206" s="6" t="str">
        <f t="shared" ca="1" si="15"/>
        <v/>
      </c>
      <c r="G206" s="6"/>
      <c r="H206" s="7">
        <f t="shared" si="16"/>
        <v>16034.482758620657</v>
      </c>
    </row>
    <row r="207" spans="1:8" x14ac:dyDescent="0.3">
      <c r="A207" s="8">
        <v>188</v>
      </c>
      <c r="B207" s="9">
        <f t="shared" si="12"/>
        <v>-880568882.06896365</v>
      </c>
      <c r="C207" s="9">
        <f t="shared" si="13"/>
        <v>37931034.482758626</v>
      </c>
      <c r="D207" s="9">
        <f t="shared" si="14"/>
        <v>-918499916.55172229</v>
      </c>
      <c r="E207" s="9">
        <f t="shared" si="17"/>
        <v>-7092663448.2758474</v>
      </c>
      <c r="F207" s="9" t="str">
        <f t="shared" ca="1" si="15"/>
        <v/>
      </c>
      <c r="G207" s="9"/>
      <c r="H207" s="10">
        <f t="shared" si="16"/>
        <v>16120.68965517238</v>
      </c>
    </row>
    <row r="208" spans="1:8" x14ac:dyDescent="0.3">
      <c r="A208" s="5">
        <v>189</v>
      </c>
      <c r="B208" s="6">
        <f t="shared" si="12"/>
        <v>-885480951.03448081</v>
      </c>
      <c r="C208" s="6">
        <f t="shared" si="13"/>
        <v>37931034.482758626</v>
      </c>
      <c r="D208" s="6">
        <f t="shared" si="14"/>
        <v>-923411985.51723945</v>
      </c>
      <c r="E208" s="6">
        <f t="shared" si="17"/>
        <v>-7130594482.758606</v>
      </c>
      <c r="F208" s="6" t="str">
        <f t="shared" ca="1" si="15"/>
        <v/>
      </c>
      <c r="G208" s="6"/>
      <c r="H208" s="7">
        <f t="shared" si="16"/>
        <v>16206.896551724105</v>
      </c>
    </row>
    <row r="209" spans="1:8" x14ac:dyDescent="0.3">
      <c r="A209" s="8">
        <v>190</v>
      </c>
      <c r="B209" s="9">
        <f t="shared" si="12"/>
        <v>-890393019.99999809</v>
      </c>
      <c r="C209" s="9">
        <f t="shared" si="13"/>
        <v>37931034.482758626</v>
      </c>
      <c r="D209" s="9">
        <f t="shared" si="14"/>
        <v>-928324054.48275673</v>
      </c>
      <c r="E209" s="9">
        <f t="shared" si="17"/>
        <v>-7168525517.2413645</v>
      </c>
      <c r="F209" s="9" t="str">
        <f t="shared" ca="1" si="15"/>
        <v/>
      </c>
      <c r="G209" s="9"/>
      <c r="H209" s="10">
        <f t="shared" si="16"/>
        <v>16293.103448275828</v>
      </c>
    </row>
    <row r="210" spans="1:8" x14ac:dyDescent="0.3">
      <c r="A210" s="5">
        <v>191</v>
      </c>
      <c r="B210" s="6">
        <f t="shared" si="12"/>
        <v>-895305088.96551538</v>
      </c>
      <c r="C210" s="6">
        <f t="shared" si="13"/>
        <v>37931034.482758626</v>
      </c>
      <c r="D210" s="6">
        <f t="shared" si="14"/>
        <v>-933236123.44827402</v>
      </c>
      <c r="E210" s="6">
        <f t="shared" si="17"/>
        <v>-7206456551.724123</v>
      </c>
      <c r="F210" s="6" t="str">
        <f t="shared" ca="1" si="15"/>
        <v/>
      </c>
      <c r="G210" s="6"/>
      <c r="H210" s="7">
        <f t="shared" si="16"/>
        <v>16379.310344827552</v>
      </c>
    </row>
    <row r="211" spans="1:8" x14ac:dyDescent="0.3">
      <c r="A211" s="8">
        <v>192</v>
      </c>
      <c r="B211" s="9">
        <f t="shared" si="12"/>
        <v>-900217157.93103254</v>
      </c>
      <c r="C211" s="9">
        <f t="shared" si="13"/>
        <v>37931034.482758626</v>
      </c>
      <c r="D211" s="9">
        <f t="shared" si="14"/>
        <v>-938148192.41379118</v>
      </c>
      <c r="E211" s="9">
        <f t="shared" si="17"/>
        <v>-7244387586.2068815</v>
      </c>
      <c r="F211" s="9" t="str">
        <f t="shared" ca="1" si="15"/>
        <v/>
      </c>
      <c r="G211" s="9"/>
      <c r="H211" s="10">
        <f t="shared" si="16"/>
        <v>16465.517241379275</v>
      </c>
    </row>
    <row r="212" spans="1:8" x14ac:dyDescent="0.3">
      <c r="A212" s="5">
        <v>193</v>
      </c>
      <c r="B212" s="6">
        <f t="shared" ref="B212:B275" si="18">C212+D212</f>
        <v>-905129226.89654982</v>
      </c>
      <c r="C212" s="6">
        <f t="shared" ref="C212:C275" si="19">$B$8/$B$12</f>
        <v>37931034.482758626</v>
      </c>
      <c r="D212" s="6">
        <f t="shared" ref="D212:D275" si="20">E212*$B$15</f>
        <v>-943060261.37930846</v>
      </c>
      <c r="E212" s="6">
        <f t="shared" si="17"/>
        <v>-7282318620.68964</v>
      </c>
      <c r="F212" s="6" t="str">
        <f t="shared" ref="F212:F275" ca="1" si="21">B212*(1+$B$14)</f>
        <v/>
      </c>
      <c r="G212" s="6"/>
      <c r="H212" s="7">
        <f t="shared" ref="H212:H275" si="22">1-E212/$B$8</f>
        <v>16551.724137931</v>
      </c>
    </row>
    <row r="213" spans="1:8" x14ac:dyDescent="0.3">
      <c r="A213" s="8">
        <v>194</v>
      </c>
      <c r="B213" s="9">
        <f t="shared" si="18"/>
        <v>-910041295.86206698</v>
      </c>
      <c r="C213" s="9">
        <f t="shared" si="19"/>
        <v>37931034.482758626</v>
      </c>
      <c r="D213" s="9">
        <f t="shared" si="20"/>
        <v>-947972330.34482563</v>
      </c>
      <c r="E213" s="9">
        <f t="shared" ref="E213:E276" si="23">E212-C213</f>
        <v>-7320249655.1723986</v>
      </c>
      <c r="F213" s="9" t="str">
        <f t="shared" ca="1" si="21"/>
        <v/>
      </c>
      <c r="G213" s="9"/>
      <c r="H213" s="10">
        <f t="shared" si="22"/>
        <v>16637.931034482724</v>
      </c>
    </row>
    <row r="214" spans="1:8" x14ac:dyDescent="0.3">
      <c r="A214" s="5">
        <v>195</v>
      </c>
      <c r="B214" s="6">
        <f t="shared" si="18"/>
        <v>-914953364.82758427</v>
      </c>
      <c r="C214" s="6">
        <f t="shared" si="19"/>
        <v>37931034.482758626</v>
      </c>
      <c r="D214" s="6">
        <f t="shared" si="20"/>
        <v>-952884399.31034291</v>
      </c>
      <c r="E214" s="6">
        <f t="shared" si="23"/>
        <v>-7358180689.6551571</v>
      </c>
      <c r="F214" s="6" t="str">
        <f t="shared" ca="1" si="21"/>
        <v/>
      </c>
      <c r="G214" s="6"/>
      <c r="H214" s="7">
        <f t="shared" si="22"/>
        <v>16724.137931034449</v>
      </c>
    </row>
    <row r="215" spans="1:8" x14ac:dyDescent="0.3">
      <c r="A215" s="8">
        <v>196</v>
      </c>
      <c r="B215" s="9">
        <f t="shared" si="18"/>
        <v>-919865433.79310143</v>
      </c>
      <c r="C215" s="9">
        <f t="shared" si="19"/>
        <v>37931034.482758626</v>
      </c>
      <c r="D215" s="9">
        <f t="shared" si="20"/>
        <v>-957796468.27586007</v>
      </c>
      <c r="E215" s="9">
        <f t="shared" si="23"/>
        <v>-7396111724.1379156</v>
      </c>
      <c r="F215" s="9" t="str">
        <f t="shared" ca="1" si="21"/>
        <v/>
      </c>
      <c r="G215" s="9"/>
      <c r="H215" s="10">
        <f t="shared" si="22"/>
        <v>16810.34482758617</v>
      </c>
    </row>
    <row r="216" spans="1:8" x14ac:dyDescent="0.3">
      <c r="A216" s="5">
        <v>197</v>
      </c>
      <c r="B216" s="6">
        <f t="shared" si="18"/>
        <v>-924777502.75861871</v>
      </c>
      <c r="C216" s="6">
        <f t="shared" si="19"/>
        <v>37931034.482758626</v>
      </c>
      <c r="D216" s="6">
        <f t="shared" si="20"/>
        <v>-962708537.24137735</v>
      </c>
      <c r="E216" s="6">
        <f t="shared" si="23"/>
        <v>-7434042758.6206741</v>
      </c>
      <c r="F216" s="6" t="str">
        <f t="shared" ca="1" si="21"/>
        <v/>
      </c>
      <c r="G216" s="6"/>
      <c r="H216" s="7">
        <f t="shared" si="22"/>
        <v>16896.551724137895</v>
      </c>
    </row>
    <row r="217" spans="1:8" x14ac:dyDescent="0.3">
      <c r="A217" s="8">
        <v>198</v>
      </c>
      <c r="B217" s="9">
        <f t="shared" si="18"/>
        <v>-929689571.72413588</v>
      </c>
      <c r="C217" s="9">
        <f t="shared" si="19"/>
        <v>37931034.482758626</v>
      </c>
      <c r="D217" s="9">
        <f t="shared" si="20"/>
        <v>-967620606.20689452</v>
      </c>
      <c r="E217" s="9">
        <f t="shared" si="23"/>
        <v>-7471973793.1034327</v>
      </c>
      <c r="F217" s="9" t="str">
        <f t="shared" ca="1" si="21"/>
        <v/>
      </c>
      <c r="G217" s="9"/>
      <c r="H217" s="10">
        <f t="shared" si="22"/>
        <v>16982.758620689619</v>
      </c>
    </row>
    <row r="218" spans="1:8" x14ac:dyDescent="0.3">
      <c r="A218" s="5">
        <v>199</v>
      </c>
      <c r="B218" s="6">
        <f t="shared" si="18"/>
        <v>-934601640.68965316</v>
      </c>
      <c r="C218" s="6">
        <f t="shared" si="19"/>
        <v>37931034.482758626</v>
      </c>
      <c r="D218" s="6">
        <f t="shared" si="20"/>
        <v>-972532675.1724118</v>
      </c>
      <c r="E218" s="6">
        <f t="shared" si="23"/>
        <v>-7509904827.5861912</v>
      </c>
      <c r="F218" s="6" t="str">
        <f t="shared" ca="1" si="21"/>
        <v/>
      </c>
      <c r="G218" s="6"/>
      <c r="H218" s="7">
        <f t="shared" si="22"/>
        <v>17068.965517241344</v>
      </c>
    </row>
    <row r="219" spans="1:8" x14ac:dyDescent="0.3">
      <c r="A219" s="8">
        <v>200</v>
      </c>
      <c r="B219" s="9">
        <f t="shared" si="18"/>
        <v>-939513709.65517032</v>
      </c>
      <c r="C219" s="9">
        <f t="shared" si="19"/>
        <v>37931034.482758626</v>
      </c>
      <c r="D219" s="9">
        <f t="shared" si="20"/>
        <v>-977444744.13792896</v>
      </c>
      <c r="E219" s="9">
        <f t="shared" si="23"/>
        <v>-7547835862.0689497</v>
      </c>
      <c r="F219" s="9" t="str">
        <f t="shared" ca="1" si="21"/>
        <v/>
      </c>
      <c r="G219" s="9"/>
      <c r="H219" s="10">
        <f t="shared" si="22"/>
        <v>17155.172413793069</v>
      </c>
    </row>
    <row r="220" spans="1:8" x14ac:dyDescent="0.3">
      <c r="A220" s="5">
        <v>201</v>
      </c>
      <c r="B220" s="6">
        <f t="shared" si="18"/>
        <v>-944425778.6206876</v>
      </c>
      <c r="C220" s="6">
        <f t="shared" si="19"/>
        <v>37931034.482758626</v>
      </c>
      <c r="D220" s="6">
        <f t="shared" si="20"/>
        <v>-982356813.10344625</v>
      </c>
      <c r="E220" s="6">
        <f t="shared" si="23"/>
        <v>-7585766896.5517082</v>
      </c>
      <c r="F220" s="6" t="str">
        <f t="shared" ca="1" si="21"/>
        <v/>
      </c>
      <c r="G220" s="6"/>
      <c r="H220" s="7">
        <f t="shared" si="22"/>
        <v>17241.37931034479</v>
      </c>
    </row>
    <row r="221" spans="1:8" x14ac:dyDescent="0.3">
      <c r="A221" s="8">
        <v>202</v>
      </c>
      <c r="B221" s="9">
        <f t="shared" si="18"/>
        <v>-949337847.58620489</v>
      </c>
      <c r="C221" s="9">
        <f t="shared" si="19"/>
        <v>37931034.482758626</v>
      </c>
      <c r="D221" s="9">
        <f t="shared" si="20"/>
        <v>-987268882.06896353</v>
      </c>
      <c r="E221" s="9">
        <f t="shared" si="23"/>
        <v>-7623697931.0344667</v>
      </c>
      <c r="F221" s="9" t="str">
        <f t="shared" ca="1" si="21"/>
        <v/>
      </c>
      <c r="G221" s="9"/>
      <c r="H221" s="10">
        <f t="shared" si="22"/>
        <v>17327.586206896514</v>
      </c>
    </row>
    <row r="222" spans="1:8" x14ac:dyDescent="0.3">
      <c r="A222" s="5">
        <v>203</v>
      </c>
      <c r="B222" s="6">
        <f t="shared" si="18"/>
        <v>-954249916.55172205</v>
      </c>
      <c r="C222" s="6">
        <f t="shared" si="19"/>
        <v>37931034.482758626</v>
      </c>
      <c r="D222" s="6">
        <f t="shared" si="20"/>
        <v>-992180951.03448069</v>
      </c>
      <c r="E222" s="6">
        <f t="shared" si="23"/>
        <v>-7661628965.5172253</v>
      </c>
      <c r="F222" s="6" t="str">
        <f t="shared" ca="1" si="21"/>
        <v/>
      </c>
      <c r="G222" s="6"/>
      <c r="H222" s="7">
        <f t="shared" si="22"/>
        <v>17413.793103448239</v>
      </c>
    </row>
    <row r="223" spans="1:8" x14ac:dyDescent="0.3">
      <c r="A223" s="8">
        <v>204</v>
      </c>
      <c r="B223" s="9">
        <f t="shared" si="18"/>
        <v>-959161985.51723933</v>
      </c>
      <c r="C223" s="9">
        <f t="shared" si="19"/>
        <v>37931034.482758626</v>
      </c>
      <c r="D223" s="9">
        <f t="shared" si="20"/>
        <v>-997093019.99999797</v>
      </c>
      <c r="E223" s="9">
        <f t="shared" si="23"/>
        <v>-7699559999.9999838</v>
      </c>
      <c r="F223" s="9" t="str">
        <f t="shared" ca="1" si="21"/>
        <v/>
      </c>
      <c r="G223" s="9"/>
      <c r="H223" s="10">
        <f t="shared" si="22"/>
        <v>17499.999999999964</v>
      </c>
    </row>
    <row r="224" spans="1:8" x14ac:dyDescent="0.3">
      <c r="A224" s="5">
        <v>205</v>
      </c>
      <c r="B224" s="6">
        <f t="shared" si="18"/>
        <v>-964074054.4827565</v>
      </c>
      <c r="C224" s="6">
        <f t="shared" si="19"/>
        <v>37931034.482758626</v>
      </c>
      <c r="D224" s="6">
        <f t="shared" si="20"/>
        <v>-1002005088.9655151</v>
      </c>
      <c r="E224" s="6">
        <f t="shared" si="23"/>
        <v>-7737491034.4827423</v>
      </c>
      <c r="F224" s="6" t="str">
        <f t="shared" ca="1" si="21"/>
        <v/>
      </c>
      <c r="G224" s="6"/>
      <c r="H224" s="7">
        <f t="shared" si="22"/>
        <v>17586.206896551688</v>
      </c>
    </row>
    <row r="225" spans="1:8" x14ac:dyDescent="0.3">
      <c r="A225" s="8">
        <v>206</v>
      </c>
      <c r="B225" s="9">
        <f t="shared" si="18"/>
        <v>-968986123.44827378</v>
      </c>
      <c r="C225" s="9">
        <f t="shared" si="19"/>
        <v>37931034.482758626</v>
      </c>
      <c r="D225" s="9">
        <f t="shared" si="20"/>
        <v>-1006917157.9310324</v>
      </c>
      <c r="E225" s="9">
        <f t="shared" si="23"/>
        <v>-7775422068.9655008</v>
      </c>
      <c r="F225" s="9" t="str">
        <f t="shared" ca="1" si="21"/>
        <v/>
      </c>
      <c r="G225" s="9"/>
      <c r="H225" s="10">
        <f t="shared" si="22"/>
        <v>17672.413793103409</v>
      </c>
    </row>
    <row r="226" spans="1:8" x14ac:dyDescent="0.3">
      <c r="A226" s="5">
        <v>207</v>
      </c>
      <c r="B226" s="6">
        <f t="shared" si="18"/>
        <v>-973898192.41379094</v>
      </c>
      <c r="C226" s="6">
        <f t="shared" si="19"/>
        <v>37931034.482758626</v>
      </c>
      <c r="D226" s="6">
        <f t="shared" si="20"/>
        <v>-1011829226.8965496</v>
      </c>
      <c r="E226" s="6">
        <f t="shared" si="23"/>
        <v>-7813353103.4482594</v>
      </c>
      <c r="F226" s="6" t="str">
        <f t="shared" ca="1" si="21"/>
        <v/>
      </c>
      <c r="G226" s="6"/>
      <c r="H226" s="7">
        <f t="shared" si="22"/>
        <v>17758.620689655134</v>
      </c>
    </row>
    <row r="227" spans="1:8" x14ac:dyDescent="0.3">
      <c r="A227" s="8">
        <v>208</v>
      </c>
      <c r="B227" s="9">
        <f t="shared" si="18"/>
        <v>-978810261.37930822</v>
      </c>
      <c r="C227" s="9">
        <f t="shared" si="19"/>
        <v>37931034.482758626</v>
      </c>
      <c r="D227" s="9">
        <f t="shared" si="20"/>
        <v>-1016741295.8620669</v>
      </c>
      <c r="E227" s="9">
        <f t="shared" si="23"/>
        <v>-7851284137.9310179</v>
      </c>
      <c r="F227" s="9" t="str">
        <f t="shared" ca="1" si="21"/>
        <v/>
      </c>
      <c r="G227" s="9"/>
      <c r="H227" s="10">
        <f t="shared" si="22"/>
        <v>17844.827586206859</v>
      </c>
    </row>
    <row r="228" spans="1:8" x14ac:dyDescent="0.3">
      <c r="A228" s="5">
        <v>209</v>
      </c>
      <c r="B228" s="6">
        <f t="shared" si="18"/>
        <v>-983722330.34482539</v>
      </c>
      <c r="C228" s="6">
        <f t="shared" si="19"/>
        <v>37931034.482758626</v>
      </c>
      <c r="D228" s="6">
        <f t="shared" si="20"/>
        <v>-1021653364.827584</v>
      </c>
      <c r="E228" s="6">
        <f t="shared" si="23"/>
        <v>-7889215172.4137764</v>
      </c>
      <c r="F228" s="6" t="str">
        <f t="shared" ca="1" si="21"/>
        <v/>
      </c>
      <c r="G228" s="6"/>
      <c r="H228" s="7">
        <f t="shared" si="22"/>
        <v>17931.034482758583</v>
      </c>
    </row>
    <row r="229" spans="1:8" x14ac:dyDescent="0.3">
      <c r="A229" s="8">
        <v>210</v>
      </c>
      <c r="B229" s="9">
        <f t="shared" si="18"/>
        <v>-988634399.31034267</v>
      </c>
      <c r="C229" s="9">
        <f t="shared" si="19"/>
        <v>37931034.482758626</v>
      </c>
      <c r="D229" s="9">
        <f t="shared" si="20"/>
        <v>-1026565433.7931013</v>
      </c>
      <c r="E229" s="9">
        <f t="shared" si="23"/>
        <v>-7927146206.8965349</v>
      </c>
      <c r="F229" s="9" t="str">
        <f t="shared" ca="1" si="21"/>
        <v/>
      </c>
      <c r="G229" s="9"/>
      <c r="H229" s="10">
        <f t="shared" si="22"/>
        <v>18017.241379310308</v>
      </c>
    </row>
    <row r="230" spans="1:8" x14ac:dyDescent="0.3">
      <c r="A230" s="5">
        <v>211</v>
      </c>
      <c r="B230" s="6">
        <f t="shared" si="18"/>
        <v>-993546468.27585983</v>
      </c>
      <c r="C230" s="6">
        <f t="shared" si="19"/>
        <v>37931034.482758626</v>
      </c>
      <c r="D230" s="6">
        <f t="shared" si="20"/>
        <v>-1031477502.7586185</v>
      </c>
      <c r="E230" s="6">
        <f t="shared" si="23"/>
        <v>-7965077241.3792934</v>
      </c>
      <c r="F230" s="6" t="str">
        <f t="shared" ca="1" si="21"/>
        <v/>
      </c>
      <c r="G230" s="6"/>
      <c r="H230" s="7">
        <f t="shared" si="22"/>
        <v>18103.448275862029</v>
      </c>
    </row>
    <row r="231" spans="1:8" x14ac:dyDescent="0.3">
      <c r="A231" s="8">
        <v>212</v>
      </c>
      <c r="B231" s="9">
        <f t="shared" si="18"/>
        <v>-998458537.24137712</v>
      </c>
      <c r="C231" s="9">
        <f t="shared" si="19"/>
        <v>37931034.482758626</v>
      </c>
      <c r="D231" s="9">
        <f t="shared" si="20"/>
        <v>-1036389571.7241358</v>
      </c>
      <c r="E231" s="9">
        <f t="shared" si="23"/>
        <v>-8003008275.862052</v>
      </c>
      <c r="F231" s="9" t="str">
        <f t="shared" ca="1" si="21"/>
        <v/>
      </c>
      <c r="G231" s="9"/>
      <c r="H231" s="10">
        <f t="shared" si="22"/>
        <v>18189.655172413753</v>
      </c>
    </row>
    <row r="232" spans="1:8" x14ac:dyDescent="0.3">
      <c r="A232" s="5">
        <v>213</v>
      </c>
      <c r="B232" s="6">
        <f t="shared" si="18"/>
        <v>-1003370606.2068944</v>
      </c>
      <c r="C232" s="6">
        <f t="shared" si="19"/>
        <v>37931034.482758626</v>
      </c>
      <c r="D232" s="6">
        <f t="shared" si="20"/>
        <v>-1041301640.689653</v>
      </c>
      <c r="E232" s="6">
        <f t="shared" si="23"/>
        <v>-8040939310.3448105</v>
      </c>
      <c r="F232" s="6" t="str">
        <f t="shared" ca="1" si="21"/>
        <v/>
      </c>
      <c r="G232" s="6"/>
      <c r="H232" s="7">
        <f t="shared" si="22"/>
        <v>18275.862068965478</v>
      </c>
    </row>
    <row r="233" spans="1:8" x14ac:dyDescent="0.3">
      <c r="A233" s="8">
        <v>214</v>
      </c>
      <c r="B233" s="9">
        <f t="shared" si="18"/>
        <v>-1008282675.1724116</v>
      </c>
      <c r="C233" s="9">
        <f t="shared" si="19"/>
        <v>37931034.482758626</v>
      </c>
      <c r="D233" s="9">
        <f t="shared" si="20"/>
        <v>-1046213709.6551702</v>
      </c>
      <c r="E233" s="9">
        <f t="shared" si="23"/>
        <v>-8078870344.827569</v>
      </c>
      <c r="F233" s="9" t="str">
        <f t="shared" ca="1" si="21"/>
        <v/>
      </c>
      <c r="G233" s="9"/>
      <c r="H233" s="10">
        <f t="shared" si="22"/>
        <v>18362.068965517203</v>
      </c>
    </row>
    <row r="234" spans="1:8" x14ac:dyDescent="0.3">
      <c r="A234" s="5">
        <v>215</v>
      </c>
      <c r="B234" s="6">
        <f t="shared" si="18"/>
        <v>-1013194744.1379288</v>
      </c>
      <c r="C234" s="6">
        <f t="shared" si="19"/>
        <v>37931034.482758626</v>
      </c>
      <c r="D234" s="6">
        <f t="shared" si="20"/>
        <v>-1051125778.6206875</v>
      </c>
      <c r="E234" s="6">
        <f t="shared" si="23"/>
        <v>-8116801379.3103275</v>
      </c>
      <c r="F234" s="6" t="str">
        <f t="shared" ca="1" si="21"/>
        <v/>
      </c>
      <c r="G234" s="6"/>
      <c r="H234" s="7">
        <f t="shared" si="22"/>
        <v>18448.275862068927</v>
      </c>
    </row>
    <row r="235" spans="1:8" x14ac:dyDescent="0.3">
      <c r="A235" s="8">
        <v>216</v>
      </c>
      <c r="B235" s="9">
        <f t="shared" si="18"/>
        <v>-1018106813.103446</v>
      </c>
      <c r="C235" s="9">
        <f t="shared" si="19"/>
        <v>37931034.482758626</v>
      </c>
      <c r="D235" s="9">
        <f t="shared" si="20"/>
        <v>-1056037847.5862046</v>
      </c>
      <c r="E235" s="9">
        <f t="shared" si="23"/>
        <v>-8154732413.7930861</v>
      </c>
      <c r="F235" s="9" t="str">
        <f t="shared" ca="1" si="21"/>
        <v/>
      </c>
      <c r="G235" s="9"/>
      <c r="H235" s="10">
        <f t="shared" si="22"/>
        <v>18534.482758620648</v>
      </c>
    </row>
    <row r="236" spans="1:8" x14ac:dyDescent="0.3">
      <c r="A236" s="5">
        <v>217</v>
      </c>
      <c r="B236" s="6">
        <f t="shared" si="18"/>
        <v>-1023018882.0689633</v>
      </c>
      <c r="C236" s="6">
        <f t="shared" si="19"/>
        <v>37931034.482758626</v>
      </c>
      <c r="D236" s="6">
        <f t="shared" si="20"/>
        <v>-1060949916.5517219</v>
      </c>
      <c r="E236" s="6">
        <f t="shared" si="23"/>
        <v>-8192663448.2758446</v>
      </c>
      <c r="F236" s="6" t="str">
        <f t="shared" ca="1" si="21"/>
        <v/>
      </c>
      <c r="G236" s="6"/>
      <c r="H236" s="7">
        <f t="shared" si="22"/>
        <v>18620.689655172373</v>
      </c>
    </row>
    <row r="237" spans="1:8" x14ac:dyDescent="0.3">
      <c r="A237" s="8">
        <v>218</v>
      </c>
      <c r="B237" s="9">
        <f t="shared" si="18"/>
        <v>-1027930951.0344805</v>
      </c>
      <c r="C237" s="9">
        <f t="shared" si="19"/>
        <v>37931034.482758626</v>
      </c>
      <c r="D237" s="9">
        <f t="shared" si="20"/>
        <v>-1065861985.5172391</v>
      </c>
      <c r="E237" s="9">
        <f t="shared" si="23"/>
        <v>-8230594482.7586031</v>
      </c>
      <c r="F237" s="9" t="str">
        <f t="shared" ca="1" si="21"/>
        <v/>
      </c>
      <c r="G237" s="9"/>
      <c r="H237" s="10">
        <f t="shared" si="22"/>
        <v>18706.896551724098</v>
      </c>
    </row>
    <row r="238" spans="1:8" x14ac:dyDescent="0.3">
      <c r="A238" s="5">
        <v>219</v>
      </c>
      <c r="B238" s="6">
        <f t="shared" si="18"/>
        <v>-1032843019.9999977</v>
      </c>
      <c r="C238" s="6">
        <f t="shared" si="19"/>
        <v>37931034.482758626</v>
      </c>
      <c r="D238" s="6">
        <f t="shared" si="20"/>
        <v>-1070774054.4827564</v>
      </c>
      <c r="E238" s="6">
        <f t="shared" si="23"/>
        <v>-8268525517.2413616</v>
      </c>
      <c r="F238" s="6" t="str">
        <f t="shared" ca="1" si="21"/>
        <v/>
      </c>
      <c r="G238" s="6"/>
      <c r="H238" s="7">
        <f t="shared" si="22"/>
        <v>18793.103448275822</v>
      </c>
    </row>
    <row r="239" spans="1:8" x14ac:dyDescent="0.3">
      <c r="A239" s="8">
        <v>220</v>
      </c>
      <c r="B239" s="9">
        <f t="shared" si="18"/>
        <v>-1037755088.965515</v>
      </c>
      <c r="C239" s="9">
        <f t="shared" si="19"/>
        <v>37931034.482758626</v>
      </c>
      <c r="D239" s="9">
        <f t="shared" si="20"/>
        <v>-1075686123.4482737</v>
      </c>
      <c r="E239" s="9">
        <f t="shared" si="23"/>
        <v>-8306456551.7241201</v>
      </c>
      <c r="F239" s="9" t="str">
        <f t="shared" ca="1" si="21"/>
        <v/>
      </c>
      <c r="G239" s="9"/>
      <c r="H239" s="10">
        <f t="shared" si="22"/>
        <v>18879.310344827547</v>
      </c>
    </row>
    <row r="240" spans="1:8" x14ac:dyDescent="0.3">
      <c r="A240" s="5">
        <v>221</v>
      </c>
      <c r="B240" s="6">
        <f t="shared" si="18"/>
        <v>-1042667157.9310321</v>
      </c>
      <c r="C240" s="6">
        <f t="shared" si="19"/>
        <v>37931034.482758626</v>
      </c>
      <c r="D240" s="6">
        <f t="shared" si="20"/>
        <v>-1080598192.4137907</v>
      </c>
      <c r="E240" s="6">
        <f t="shared" si="23"/>
        <v>-8344387586.2068787</v>
      </c>
      <c r="F240" s="6" t="str">
        <f t="shared" ca="1" si="21"/>
        <v/>
      </c>
      <c r="G240" s="6"/>
      <c r="H240" s="7">
        <f t="shared" si="22"/>
        <v>18965.517241379268</v>
      </c>
    </row>
    <row r="241" spans="1:8" x14ac:dyDescent="0.3">
      <c r="A241" s="8">
        <v>222</v>
      </c>
      <c r="B241" s="9">
        <f t="shared" si="18"/>
        <v>-1047579226.8965493</v>
      </c>
      <c r="C241" s="9">
        <f t="shared" si="19"/>
        <v>37931034.482758626</v>
      </c>
      <c r="D241" s="9">
        <f t="shared" si="20"/>
        <v>-1085510261.379308</v>
      </c>
      <c r="E241" s="9">
        <f t="shared" si="23"/>
        <v>-8382318620.6896372</v>
      </c>
      <c r="F241" s="9" t="str">
        <f t="shared" ca="1" si="21"/>
        <v/>
      </c>
      <c r="G241" s="9"/>
      <c r="H241" s="10">
        <f t="shared" si="22"/>
        <v>19051.724137930993</v>
      </c>
    </row>
    <row r="242" spans="1:8" x14ac:dyDescent="0.3">
      <c r="A242" s="5">
        <v>223</v>
      </c>
      <c r="B242" s="6">
        <f t="shared" si="18"/>
        <v>-1052491295.8620666</v>
      </c>
      <c r="C242" s="6">
        <f t="shared" si="19"/>
        <v>37931034.482758626</v>
      </c>
      <c r="D242" s="6">
        <f t="shared" si="20"/>
        <v>-1090422330.3448253</v>
      </c>
      <c r="E242" s="6">
        <f t="shared" si="23"/>
        <v>-8420249655.1723957</v>
      </c>
      <c r="F242" s="6" t="str">
        <f t="shared" ca="1" si="21"/>
        <v/>
      </c>
      <c r="G242" s="6"/>
      <c r="H242" s="7">
        <f t="shared" si="22"/>
        <v>19137.931034482717</v>
      </c>
    </row>
    <row r="243" spans="1:8" x14ac:dyDescent="0.3">
      <c r="A243" s="8">
        <v>224</v>
      </c>
      <c r="B243" s="9">
        <f t="shared" si="18"/>
        <v>-1057403364.8275839</v>
      </c>
      <c r="C243" s="9">
        <f t="shared" si="19"/>
        <v>37931034.482758626</v>
      </c>
      <c r="D243" s="9">
        <f t="shared" si="20"/>
        <v>-1095334399.3103426</v>
      </c>
      <c r="E243" s="9">
        <f t="shared" si="23"/>
        <v>-8458180689.6551542</v>
      </c>
      <c r="F243" s="9" t="str">
        <f t="shared" ca="1" si="21"/>
        <v/>
      </c>
      <c r="G243" s="9"/>
      <c r="H243" s="10">
        <f t="shared" si="22"/>
        <v>19224.137931034442</v>
      </c>
    </row>
    <row r="244" spans="1:8" x14ac:dyDescent="0.3">
      <c r="A244" s="5">
        <v>225</v>
      </c>
      <c r="B244" s="6">
        <f t="shared" si="18"/>
        <v>-1062315433.7931012</v>
      </c>
      <c r="C244" s="6">
        <f t="shared" si="19"/>
        <v>37931034.482758626</v>
      </c>
      <c r="D244" s="6">
        <f t="shared" si="20"/>
        <v>-1100246468.2758598</v>
      </c>
      <c r="E244" s="6">
        <f t="shared" si="23"/>
        <v>-8496111724.1379128</v>
      </c>
      <c r="F244" s="6" t="str">
        <f t="shared" ca="1" si="21"/>
        <v/>
      </c>
      <c r="G244" s="6"/>
      <c r="H244" s="7">
        <f t="shared" si="22"/>
        <v>19310.344827586167</v>
      </c>
    </row>
    <row r="245" spans="1:8" x14ac:dyDescent="0.3">
      <c r="A245" s="8">
        <v>226</v>
      </c>
      <c r="B245" s="9">
        <f t="shared" si="18"/>
        <v>-1067227502.7586182</v>
      </c>
      <c r="C245" s="9">
        <f t="shared" si="19"/>
        <v>37931034.482758626</v>
      </c>
      <c r="D245" s="9">
        <f t="shared" si="20"/>
        <v>-1105158537.2413769</v>
      </c>
      <c r="E245" s="9">
        <f t="shared" si="23"/>
        <v>-8534042758.6206713</v>
      </c>
      <c r="F245" s="9" t="str">
        <f t="shared" ca="1" si="21"/>
        <v/>
      </c>
      <c r="G245" s="9"/>
      <c r="H245" s="10">
        <f t="shared" si="22"/>
        <v>19396.551724137888</v>
      </c>
    </row>
    <row r="246" spans="1:8" x14ac:dyDescent="0.3">
      <c r="A246" s="5">
        <v>227</v>
      </c>
      <c r="B246" s="6">
        <f t="shared" si="18"/>
        <v>-1072139571.7241355</v>
      </c>
      <c r="C246" s="6">
        <f t="shared" si="19"/>
        <v>37931034.482758626</v>
      </c>
      <c r="D246" s="6">
        <f t="shared" si="20"/>
        <v>-1110070606.2068942</v>
      </c>
      <c r="E246" s="6">
        <f t="shared" si="23"/>
        <v>-8571973793.1034298</v>
      </c>
      <c r="F246" s="6" t="str">
        <f t="shared" ca="1" si="21"/>
        <v/>
      </c>
      <c r="G246" s="6"/>
      <c r="H246" s="7">
        <f t="shared" si="22"/>
        <v>19482.758620689612</v>
      </c>
    </row>
    <row r="247" spans="1:8" x14ac:dyDescent="0.3">
      <c r="A247" s="8">
        <v>228</v>
      </c>
      <c r="B247" s="9">
        <f t="shared" si="18"/>
        <v>-1077051640.6896529</v>
      </c>
      <c r="C247" s="9">
        <f t="shared" si="19"/>
        <v>37931034.482758626</v>
      </c>
      <c r="D247" s="9">
        <f t="shared" si="20"/>
        <v>-1114982675.1724114</v>
      </c>
      <c r="E247" s="9">
        <f t="shared" si="23"/>
        <v>-8609904827.5861893</v>
      </c>
      <c r="F247" s="9" t="str">
        <f t="shared" ca="1" si="21"/>
        <v/>
      </c>
      <c r="G247" s="9"/>
      <c r="H247" s="10">
        <f t="shared" si="22"/>
        <v>19568.96551724134</v>
      </c>
    </row>
    <row r="248" spans="1:8" x14ac:dyDescent="0.3">
      <c r="A248" s="5">
        <v>229</v>
      </c>
      <c r="B248" s="6">
        <f t="shared" si="18"/>
        <v>-1081963709.6551704</v>
      </c>
      <c r="C248" s="6">
        <f t="shared" si="19"/>
        <v>37931034.482758626</v>
      </c>
      <c r="D248" s="6">
        <f t="shared" si="20"/>
        <v>-1119894744.137929</v>
      </c>
      <c r="E248" s="6">
        <f t="shared" si="23"/>
        <v>-8647835862.0689487</v>
      </c>
      <c r="F248" s="6" t="str">
        <f t="shared" ca="1" si="21"/>
        <v/>
      </c>
      <c r="G248" s="6"/>
      <c r="H248" s="7">
        <f t="shared" si="22"/>
        <v>19655.172413793065</v>
      </c>
    </row>
    <row r="249" spans="1:8" x14ac:dyDescent="0.3">
      <c r="A249" s="8">
        <v>230</v>
      </c>
      <c r="B249" s="9">
        <f t="shared" si="18"/>
        <v>-1086875778.6206877</v>
      </c>
      <c r="C249" s="9">
        <f t="shared" si="19"/>
        <v>37931034.482758626</v>
      </c>
      <c r="D249" s="9">
        <f t="shared" si="20"/>
        <v>-1124806813.1034462</v>
      </c>
      <c r="E249" s="9">
        <f t="shared" si="23"/>
        <v>-8685766896.5517082</v>
      </c>
      <c r="F249" s="9" t="str">
        <f t="shared" ca="1" si="21"/>
        <v/>
      </c>
      <c r="G249" s="9"/>
      <c r="H249" s="10">
        <f t="shared" si="22"/>
        <v>19741.37931034479</v>
      </c>
    </row>
    <row r="250" spans="1:8" x14ac:dyDescent="0.3">
      <c r="A250" s="5">
        <v>231</v>
      </c>
      <c r="B250" s="6">
        <f t="shared" si="18"/>
        <v>-1091787847.586205</v>
      </c>
      <c r="C250" s="6">
        <f t="shared" si="19"/>
        <v>37931034.482758626</v>
      </c>
      <c r="D250" s="6">
        <f t="shared" si="20"/>
        <v>-1129718882.0689635</v>
      </c>
      <c r="E250" s="6">
        <f t="shared" si="23"/>
        <v>-8723697931.0344677</v>
      </c>
      <c r="F250" s="6" t="str">
        <f t="shared" ca="1" si="21"/>
        <v/>
      </c>
      <c r="G250" s="6"/>
      <c r="H250" s="7">
        <f t="shared" si="22"/>
        <v>19827.586206896518</v>
      </c>
    </row>
    <row r="251" spans="1:8" x14ac:dyDescent="0.3">
      <c r="A251" s="8">
        <v>232</v>
      </c>
      <c r="B251" s="9">
        <f t="shared" si="18"/>
        <v>-1096699916.5517225</v>
      </c>
      <c r="C251" s="9">
        <f t="shared" si="19"/>
        <v>37931034.482758626</v>
      </c>
      <c r="D251" s="9">
        <f t="shared" si="20"/>
        <v>-1134630951.034481</v>
      </c>
      <c r="E251" s="9">
        <f t="shared" si="23"/>
        <v>-8761628965.5172272</v>
      </c>
      <c r="F251" s="9" t="str">
        <f t="shared" ca="1" si="21"/>
        <v/>
      </c>
      <c r="G251" s="9"/>
      <c r="H251" s="10">
        <f t="shared" si="22"/>
        <v>19913.793103448243</v>
      </c>
    </row>
    <row r="252" spans="1:8" x14ac:dyDescent="0.3">
      <c r="A252" s="5">
        <v>233</v>
      </c>
      <c r="B252" s="6">
        <f t="shared" si="18"/>
        <v>-1101611985.5172398</v>
      </c>
      <c r="C252" s="6">
        <f t="shared" si="19"/>
        <v>37931034.482758626</v>
      </c>
      <c r="D252" s="6">
        <f t="shared" si="20"/>
        <v>-1139543019.9999983</v>
      </c>
      <c r="E252" s="6">
        <f t="shared" si="23"/>
        <v>-8799559999.9999866</v>
      </c>
      <c r="F252" s="6" t="str">
        <f t="shared" ca="1" si="21"/>
        <v/>
      </c>
      <c r="G252" s="6"/>
      <c r="H252" s="7">
        <f t="shared" si="22"/>
        <v>19999.999999999971</v>
      </c>
    </row>
    <row r="253" spans="1:8" x14ac:dyDescent="0.3">
      <c r="A253" s="8">
        <v>234</v>
      </c>
      <c r="B253" s="9">
        <f t="shared" si="18"/>
        <v>-1106524054.4827571</v>
      </c>
      <c r="C253" s="9">
        <f t="shared" si="19"/>
        <v>37931034.482758626</v>
      </c>
      <c r="D253" s="9">
        <f t="shared" si="20"/>
        <v>-1144455088.9655156</v>
      </c>
      <c r="E253" s="9">
        <f t="shared" si="23"/>
        <v>-8837491034.4827461</v>
      </c>
      <c r="F253" s="9" t="str">
        <f t="shared" ca="1" si="21"/>
        <v/>
      </c>
      <c r="G253" s="9"/>
      <c r="H253" s="10">
        <f t="shared" si="22"/>
        <v>20086.206896551696</v>
      </c>
    </row>
    <row r="254" spans="1:8" x14ac:dyDescent="0.3">
      <c r="A254" s="5">
        <v>235</v>
      </c>
      <c r="B254" s="6">
        <f t="shared" si="18"/>
        <v>-1111436123.4482744</v>
      </c>
      <c r="C254" s="6">
        <f t="shared" si="19"/>
        <v>37931034.482758626</v>
      </c>
      <c r="D254" s="6">
        <f t="shared" si="20"/>
        <v>-1149367157.9310329</v>
      </c>
      <c r="E254" s="6">
        <f t="shared" si="23"/>
        <v>-8875422068.9655056</v>
      </c>
      <c r="F254" s="6" t="str">
        <f t="shared" ca="1" si="21"/>
        <v/>
      </c>
      <c r="G254" s="6"/>
      <c r="H254" s="7">
        <f t="shared" si="22"/>
        <v>20172.41379310342</v>
      </c>
    </row>
    <row r="255" spans="1:8" x14ac:dyDescent="0.3">
      <c r="A255" s="8">
        <v>236</v>
      </c>
      <c r="B255" s="9">
        <f t="shared" si="18"/>
        <v>-1116348192.4137919</v>
      </c>
      <c r="C255" s="9">
        <f t="shared" si="19"/>
        <v>37931034.482758626</v>
      </c>
      <c r="D255" s="9">
        <f t="shared" si="20"/>
        <v>-1154279226.8965504</v>
      </c>
      <c r="E255" s="9">
        <f t="shared" si="23"/>
        <v>-8913353103.4482651</v>
      </c>
      <c r="F255" s="9" t="str">
        <f t="shared" ca="1" si="21"/>
        <v/>
      </c>
      <c r="G255" s="9"/>
      <c r="H255" s="10">
        <f t="shared" si="22"/>
        <v>20258.620689655148</v>
      </c>
    </row>
    <row r="256" spans="1:8" x14ac:dyDescent="0.3">
      <c r="A256" s="5">
        <v>237</v>
      </c>
      <c r="B256" s="6">
        <f t="shared" si="18"/>
        <v>-1121260261.3793092</v>
      </c>
      <c r="C256" s="6">
        <f t="shared" si="19"/>
        <v>37931034.482758626</v>
      </c>
      <c r="D256" s="6">
        <f t="shared" si="20"/>
        <v>-1159191295.8620677</v>
      </c>
      <c r="E256" s="6">
        <f t="shared" si="23"/>
        <v>-8951284137.9310246</v>
      </c>
      <c r="F256" s="6" t="str">
        <f t="shared" ca="1" si="21"/>
        <v/>
      </c>
      <c r="G256" s="6"/>
      <c r="H256" s="7">
        <f t="shared" si="22"/>
        <v>20344.827586206873</v>
      </c>
    </row>
    <row r="257" spans="1:8" x14ac:dyDescent="0.3">
      <c r="A257" s="8">
        <v>238</v>
      </c>
      <c r="B257" s="9">
        <f t="shared" si="18"/>
        <v>-1126172330.3448265</v>
      </c>
      <c r="C257" s="9">
        <f t="shared" si="19"/>
        <v>37931034.482758626</v>
      </c>
      <c r="D257" s="9">
        <f t="shared" si="20"/>
        <v>-1164103364.827585</v>
      </c>
      <c r="E257" s="9">
        <f t="shared" si="23"/>
        <v>-8989215172.413784</v>
      </c>
      <c r="F257" s="9" t="str">
        <f t="shared" ca="1" si="21"/>
        <v/>
      </c>
      <c r="G257" s="9"/>
      <c r="H257" s="10">
        <f t="shared" si="22"/>
        <v>20431.034482758601</v>
      </c>
    </row>
    <row r="258" spans="1:8" x14ac:dyDescent="0.3">
      <c r="A258" s="5">
        <v>239</v>
      </c>
      <c r="B258" s="6">
        <f t="shared" si="18"/>
        <v>-1131084399.310344</v>
      </c>
      <c r="C258" s="6">
        <f t="shared" si="19"/>
        <v>37931034.482758626</v>
      </c>
      <c r="D258" s="6">
        <f t="shared" si="20"/>
        <v>-1169015433.7931025</v>
      </c>
      <c r="E258" s="6">
        <f t="shared" si="23"/>
        <v>-9027146206.8965435</v>
      </c>
      <c r="F258" s="6" t="str">
        <f t="shared" ca="1" si="21"/>
        <v/>
      </c>
      <c r="G258" s="6"/>
      <c r="H258" s="7">
        <f t="shared" si="22"/>
        <v>20517.241379310326</v>
      </c>
    </row>
    <row r="259" spans="1:8" x14ac:dyDescent="0.3">
      <c r="A259" s="8">
        <v>240</v>
      </c>
      <c r="B259" s="9">
        <f t="shared" si="18"/>
        <v>-1135996468.2758613</v>
      </c>
      <c r="C259" s="9">
        <f t="shared" si="19"/>
        <v>37931034.482758626</v>
      </c>
      <c r="D259" s="9">
        <f t="shared" si="20"/>
        <v>-1173927502.7586198</v>
      </c>
      <c r="E259" s="9">
        <f t="shared" si="23"/>
        <v>-9065077241.379303</v>
      </c>
      <c r="F259" s="9" t="str">
        <f t="shared" ca="1" si="21"/>
        <v/>
      </c>
      <c r="G259" s="9"/>
      <c r="H259" s="10">
        <f t="shared" si="22"/>
        <v>20603.448275862051</v>
      </c>
    </row>
    <row r="260" spans="1:8" x14ac:dyDescent="0.3">
      <c r="A260" s="5">
        <v>241</v>
      </c>
      <c r="B260" s="6">
        <f t="shared" si="18"/>
        <v>-1140908537.2413785</v>
      </c>
      <c r="C260" s="6">
        <f t="shared" si="19"/>
        <v>37931034.482758626</v>
      </c>
      <c r="D260" s="6">
        <f t="shared" si="20"/>
        <v>-1178839571.7241371</v>
      </c>
      <c r="E260" s="6">
        <f t="shared" si="23"/>
        <v>-9103008275.8620625</v>
      </c>
      <c r="F260" s="6" t="str">
        <f t="shared" ca="1" si="21"/>
        <v/>
      </c>
      <c r="G260" s="6"/>
      <c r="H260" s="7">
        <f t="shared" si="22"/>
        <v>20689.655172413779</v>
      </c>
    </row>
    <row r="261" spans="1:8" x14ac:dyDescent="0.3">
      <c r="A261" s="8">
        <v>242</v>
      </c>
      <c r="B261" s="9">
        <f t="shared" si="18"/>
        <v>-1145820606.2068961</v>
      </c>
      <c r="C261" s="9">
        <f t="shared" si="19"/>
        <v>37931034.482758626</v>
      </c>
      <c r="D261" s="9">
        <f t="shared" si="20"/>
        <v>-1183751640.6896546</v>
      </c>
      <c r="E261" s="9">
        <f t="shared" si="23"/>
        <v>-9140939310.3448219</v>
      </c>
      <c r="F261" s="9" t="str">
        <f t="shared" ca="1" si="21"/>
        <v/>
      </c>
      <c r="G261" s="9"/>
      <c r="H261" s="10">
        <f t="shared" si="22"/>
        <v>20775.862068965504</v>
      </c>
    </row>
    <row r="262" spans="1:8" x14ac:dyDescent="0.3">
      <c r="A262" s="5">
        <v>243</v>
      </c>
      <c r="B262" s="6">
        <f t="shared" si="18"/>
        <v>-1150732675.1724133</v>
      </c>
      <c r="C262" s="6">
        <f t="shared" si="19"/>
        <v>37931034.482758626</v>
      </c>
      <c r="D262" s="6">
        <f t="shared" si="20"/>
        <v>-1188663709.6551719</v>
      </c>
      <c r="E262" s="6">
        <f t="shared" si="23"/>
        <v>-9178870344.8275814</v>
      </c>
      <c r="F262" s="6" t="str">
        <f t="shared" ca="1" si="21"/>
        <v/>
      </c>
      <c r="G262" s="6"/>
      <c r="H262" s="7">
        <f t="shared" si="22"/>
        <v>20862.068965517232</v>
      </c>
    </row>
    <row r="263" spans="1:8" x14ac:dyDescent="0.3">
      <c r="A263" s="8">
        <v>244</v>
      </c>
      <c r="B263" s="9">
        <f t="shared" si="18"/>
        <v>-1155644744.1379306</v>
      </c>
      <c r="C263" s="9">
        <f t="shared" si="19"/>
        <v>37931034.482758626</v>
      </c>
      <c r="D263" s="9">
        <f t="shared" si="20"/>
        <v>-1193575778.6206892</v>
      </c>
      <c r="E263" s="9">
        <f t="shared" si="23"/>
        <v>-9216801379.3103409</v>
      </c>
      <c r="F263" s="9" t="str">
        <f t="shared" ca="1" si="21"/>
        <v/>
      </c>
      <c r="G263" s="9"/>
      <c r="H263" s="10">
        <f t="shared" si="22"/>
        <v>20948.275862068956</v>
      </c>
    </row>
    <row r="264" spans="1:8" x14ac:dyDescent="0.3">
      <c r="A264" s="5">
        <v>245</v>
      </c>
      <c r="B264" s="6">
        <f t="shared" si="18"/>
        <v>-1160556813.1034479</v>
      </c>
      <c r="C264" s="6">
        <f t="shared" si="19"/>
        <v>37931034.482758626</v>
      </c>
      <c r="D264" s="6">
        <f t="shared" si="20"/>
        <v>-1198487847.5862064</v>
      </c>
      <c r="E264" s="6">
        <f t="shared" si="23"/>
        <v>-9254732413.7931004</v>
      </c>
      <c r="F264" s="6" t="str">
        <f t="shared" ca="1" si="21"/>
        <v/>
      </c>
      <c r="G264" s="6"/>
      <c r="H264" s="7">
        <f t="shared" si="22"/>
        <v>21034.482758620681</v>
      </c>
    </row>
    <row r="265" spans="1:8" x14ac:dyDescent="0.3">
      <c r="A265" s="8">
        <v>246</v>
      </c>
      <c r="B265" s="9">
        <f t="shared" si="18"/>
        <v>-1165468882.0689654</v>
      </c>
      <c r="C265" s="9">
        <f t="shared" si="19"/>
        <v>37931034.482758626</v>
      </c>
      <c r="D265" s="9">
        <f t="shared" si="20"/>
        <v>-1203399916.551724</v>
      </c>
      <c r="E265" s="9">
        <f t="shared" si="23"/>
        <v>-9292663448.2758598</v>
      </c>
      <c r="F265" s="9" t="str">
        <f t="shared" ca="1" si="21"/>
        <v/>
      </c>
      <c r="G265" s="9"/>
      <c r="H265" s="10">
        <f t="shared" si="22"/>
        <v>21120.689655172409</v>
      </c>
    </row>
    <row r="266" spans="1:8" x14ac:dyDescent="0.3">
      <c r="A266" s="5">
        <v>247</v>
      </c>
      <c r="B266" s="6">
        <f t="shared" si="18"/>
        <v>-1170380951.0344827</v>
      </c>
      <c r="C266" s="6">
        <f t="shared" si="19"/>
        <v>37931034.482758626</v>
      </c>
      <c r="D266" s="6">
        <f t="shared" si="20"/>
        <v>-1208311985.5172412</v>
      </c>
      <c r="E266" s="6">
        <f t="shared" si="23"/>
        <v>-9330594482.7586193</v>
      </c>
      <c r="F266" s="6" t="str">
        <f t="shared" ca="1" si="21"/>
        <v/>
      </c>
      <c r="G266" s="6"/>
      <c r="H266" s="7">
        <f t="shared" si="22"/>
        <v>21206.896551724134</v>
      </c>
    </row>
    <row r="267" spans="1:8" x14ac:dyDescent="0.3">
      <c r="A267" s="8">
        <v>248</v>
      </c>
      <c r="B267" s="9">
        <f t="shared" si="18"/>
        <v>-1175293020</v>
      </c>
      <c r="C267" s="9">
        <f t="shared" si="19"/>
        <v>37931034.482758626</v>
      </c>
      <c r="D267" s="9">
        <f t="shared" si="20"/>
        <v>-1213224054.4827585</v>
      </c>
      <c r="E267" s="9">
        <f t="shared" si="23"/>
        <v>-9368525517.2413788</v>
      </c>
      <c r="F267" s="9" t="str">
        <f t="shared" ca="1" si="21"/>
        <v/>
      </c>
      <c r="G267" s="9"/>
      <c r="H267" s="10">
        <f t="shared" si="22"/>
        <v>21293.103448275862</v>
      </c>
    </row>
    <row r="268" spans="1:8" x14ac:dyDescent="0.3">
      <c r="A268" s="5">
        <v>249</v>
      </c>
      <c r="B268" s="6">
        <f t="shared" si="18"/>
        <v>-1180205088.9655175</v>
      </c>
      <c r="C268" s="6">
        <f t="shared" si="19"/>
        <v>37931034.482758626</v>
      </c>
      <c r="D268" s="6">
        <f t="shared" si="20"/>
        <v>-1218136123.448276</v>
      </c>
      <c r="E268" s="6">
        <f t="shared" si="23"/>
        <v>-9406456551.7241383</v>
      </c>
      <c r="F268" s="6" t="str">
        <f t="shared" ca="1" si="21"/>
        <v/>
      </c>
      <c r="G268" s="6"/>
      <c r="H268" s="7">
        <f t="shared" si="22"/>
        <v>21379.310344827587</v>
      </c>
    </row>
    <row r="269" spans="1:8" x14ac:dyDescent="0.3">
      <c r="A269" s="8">
        <v>250</v>
      </c>
      <c r="B269" s="9">
        <f t="shared" si="18"/>
        <v>-1185117157.9310348</v>
      </c>
      <c r="C269" s="9">
        <f t="shared" si="19"/>
        <v>37931034.482758626</v>
      </c>
      <c r="D269" s="9">
        <f t="shared" si="20"/>
        <v>-1223048192.4137933</v>
      </c>
      <c r="E269" s="9">
        <f t="shared" si="23"/>
        <v>-9444387586.2068977</v>
      </c>
      <c r="F269" s="9" t="str">
        <f t="shared" ca="1" si="21"/>
        <v/>
      </c>
      <c r="G269" s="9"/>
      <c r="H269" s="10">
        <f t="shared" si="22"/>
        <v>21465.517241379312</v>
      </c>
    </row>
    <row r="270" spans="1:8" x14ac:dyDescent="0.3">
      <c r="A270" s="5">
        <v>251</v>
      </c>
      <c r="B270" s="6">
        <f t="shared" si="18"/>
        <v>-1190029226.8965521</v>
      </c>
      <c r="C270" s="6">
        <f t="shared" si="19"/>
        <v>37931034.482758626</v>
      </c>
      <c r="D270" s="6">
        <f t="shared" si="20"/>
        <v>-1227960261.3793106</v>
      </c>
      <c r="E270" s="6">
        <f t="shared" si="23"/>
        <v>-9482318620.6896572</v>
      </c>
      <c r="F270" s="6" t="str">
        <f t="shared" ca="1" si="21"/>
        <v/>
      </c>
      <c r="G270" s="6"/>
      <c r="H270" s="7">
        <f t="shared" si="22"/>
        <v>21551.72413793104</v>
      </c>
    </row>
    <row r="271" spans="1:8" x14ac:dyDescent="0.3">
      <c r="A271" s="8">
        <v>252</v>
      </c>
      <c r="B271" s="9">
        <f t="shared" si="18"/>
        <v>-1194941295.8620694</v>
      </c>
      <c r="C271" s="9">
        <f t="shared" si="19"/>
        <v>37931034.482758626</v>
      </c>
      <c r="D271" s="9">
        <f t="shared" si="20"/>
        <v>-1232872330.3448279</v>
      </c>
      <c r="E271" s="9">
        <f t="shared" si="23"/>
        <v>-9520249655.1724167</v>
      </c>
      <c r="F271" s="9" t="str">
        <f t="shared" ca="1" si="21"/>
        <v/>
      </c>
      <c r="G271" s="9"/>
      <c r="H271" s="10">
        <f t="shared" si="22"/>
        <v>21637.931034482765</v>
      </c>
    </row>
    <row r="272" spans="1:8" x14ac:dyDescent="0.3">
      <c r="A272" s="5">
        <v>253</v>
      </c>
      <c r="B272" s="6">
        <f t="shared" si="18"/>
        <v>-1199853364.8275869</v>
      </c>
      <c r="C272" s="6">
        <f t="shared" si="19"/>
        <v>37931034.482758626</v>
      </c>
      <c r="D272" s="6">
        <f t="shared" si="20"/>
        <v>-1237784399.3103454</v>
      </c>
      <c r="E272" s="6">
        <f t="shared" si="23"/>
        <v>-9558180689.6551762</v>
      </c>
      <c r="F272" s="6" t="str">
        <f t="shared" ca="1" si="21"/>
        <v/>
      </c>
      <c r="G272" s="6"/>
      <c r="H272" s="7">
        <f t="shared" si="22"/>
        <v>21724.137931034493</v>
      </c>
    </row>
    <row r="273" spans="1:8" x14ac:dyDescent="0.3">
      <c r="A273" s="8">
        <v>254</v>
      </c>
      <c r="B273" s="9">
        <f t="shared" si="18"/>
        <v>-1204765433.7931042</v>
      </c>
      <c r="C273" s="9">
        <f t="shared" si="19"/>
        <v>37931034.482758626</v>
      </c>
      <c r="D273" s="9">
        <f t="shared" si="20"/>
        <v>-1242696468.2758627</v>
      </c>
      <c r="E273" s="9">
        <f t="shared" si="23"/>
        <v>-9596111724.1379356</v>
      </c>
      <c r="F273" s="9" t="str">
        <f t="shared" ca="1" si="21"/>
        <v/>
      </c>
      <c r="G273" s="9"/>
      <c r="H273" s="10">
        <f t="shared" si="22"/>
        <v>21810.344827586217</v>
      </c>
    </row>
    <row r="274" spans="1:8" x14ac:dyDescent="0.3">
      <c r="A274" s="5">
        <v>255</v>
      </c>
      <c r="B274" s="6">
        <f t="shared" si="18"/>
        <v>-1209677502.7586215</v>
      </c>
      <c r="C274" s="6">
        <f t="shared" si="19"/>
        <v>37931034.482758626</v>
      </c>
      <c r="D274" s="6">
        <f t="shared" si="20"/>
        <v>-1247608537.24138</v>
      </c>
      <c r="E274" s="6">
        <f t="shared" si="23"/>
        <v>-9634042758.6206951</v>
      </c>
      <c r="F274" s="6" t="str">
        <f t="shared" ca="1" si="21"/>
        <v/>
      </c>
      <c r="G274" s="6"/>
      <c r="H274" s="7">
        <f t="shared" si="22"/>
        <v>21896.551724137942</v>
      </c>
    </row>
    <row r="275" spans="1:8" x14ac:dyDescent="0.3">
      <c r="A275" s="8">
        <v>256</v>
      </c>
      <c r="B275" s="9">
        <f t="shared" si="18"/>
        <v>-1214589571.724139</v>
      </c>
      <c r="C275" s="9">
        <f t="shared" si="19"/>
        <v>37931034.482758626</v>
      </c>
      <c r="D275" s="9">
        <f t="shared" si="20"/>
        <v>-1252520606.2068975</v>
      </c>
      <c r="E275" s="9">
        <f t="shared" si="23"/>
        <v>-9671973793.1034546</v>
      </c>
      <c r="F275" s="9" t="str">
        <f t="shared" ca="1" si="21"/>
        <v/>
      </c>
      <c r="G275" s="9"/>
      <c r="H275" s="10">
        <f t="shared" si="22"/>
        <v>21982.75862068967</v>
      </c>
    </row>
    <row r="276" spans="1:8" x14ac:dyDescent="0.3">
      <c r="A276" s="5">
        <v>257</v>
      </c>
      <c r="B276" s="6">
        <f t="shared" ref="B276:B339" si="24">C276+D276</f>
        <v>-1219501640.6896563</v>
      </c>
      <c r="C276" s="6">
        <f t="shared" ref="C276:C339" si="25">$B$8/$B$12</f>
        <v>37931034.482758626</v>
      </c>
      <c r="D276" s="6">
        <f t="shared" ref="D276:D339" si="26">E276*$B$15</f>
        <v>-1257432675.1724148</v>
      </c>
      <c r="E276" s="6">
        <f t="shared" si="23"/>
        <v>-9709904827.5862141</v>
      </c>
      <c r="F276" s="6" t="str">
        <f t="shared" ref="F276:F339" ca="1" si="27">B276*(1+$B$14)</f>
        <v/>
      </c>
      <c r="G276" s="6"/>
      <c r="H276" s="7">
        <f t="shared" ref="H276:H339" si="28">1-E276/$B$8</f>
        <v>22068.965517241395</v>
      </c>
    </row>
    <row r="277" spans="1:8" x14ac:dyDescent="0.3">
      <c r="A277" s="8">
        <v>258</v>
      </c>
      <c r="B277" s="9">
        <f t="shared" si="24"/>
        <v>-1224413709.6551735</v>
      </c>
      <c r="C277" s="9">
        <f t="shared" si="25"/>
        <v>37931034.482758626</v>
      </c>
      <c r="D277" s="9">
        <f t="shared" si="26"/>
        <v>-1262344744.1379321</v>
      </c>
      <c r="E277" s="9">
        <f t="shared" ref="E277:E340" si="29">E276-C277</f>
        <v>-9747835862.0689735</v>
      </c>
      <c r="F277" s="9" t="str">
        <f t="shared" ca="1" si="27"/>
        <v/>
      </c>
      <c r="G277" s="9"/>
      <c r="H277" s="10">
        <f t="shared" si="28"/>
        <v>22155.172413793123</v>
      </c>
    </row>
    <row r="278" spans="1:8" x14ac:dyDescent="0.3">
      <c r="A278" s="5">
        <v>259</v>
      </c>
      <c r="B278" s="6">
        <f t="shared" si="24"/>
        <v>-1229325778.6206911</v>
      </c>
      <c r="C278" s="6">
        <f t="shared" si="25"/>
        <v>37931034.482758626</v>
      </c>
      <c r="D278" s="6">
        <f t="shared" si="26"/>
        <v>-1267256813.1034496</v>
      </c>
      <c r="E278" s="6">
        <f t="shared" si="29"/>
        <v>-9785766896.551733</v>
      </c>
      <c r="F278" s="6" t="str">
        <f t="shared" ca="1" si="27"/>
        <v/>
      </c>
      <c r="G278" s="6"/>
      <c r="H278" s="7">
        <f t="shared" si="28"/>
        <v>22241.379310344848</v>
      </c>
    </row>
    <row r="279" spans="1:8" x14ac:dyDescent="0.3">
      <c r="A279" s="8">
        <v>260</v>
      </c>
      <c r="B279" s="9">
        <f t="shared" si="24"/>
        <v>-1234237847.5862083</v>
      </c>
      <c r="C279" s="9">
        <f t="shared" si="25"/>
        <v>37931034.482758626</v>
      </c>
      <c r="D279" s="9">
        <f t="shared" si="26"/>
        <v>-1272168882.0689669</v>
      </c>
      <c r="E279" s="9">
        <f t="shared" si="29"/>
        <v>-9823697931.0344925</v>
      </c>
      <c r="F279" s="9" t="str">
        <f t="shared" ca="1" si="27"/>
        <v/>
      </c>
      <c r="G279" s="9"/>
      <c r="H279" s="10">
        <f t="shared" si="28"/>
        <v>22327.586206896573</v>
      </c>
    </row>
    <row r="280" spans="1:8" x14ac:dyDescent="0.3">
      <c r="A280" s="5">
        <v>261</v>
      </c>
      <c r="B280" s="6">
        <f t="shared" si="24"/>
        <v>-1239149916.5517256</v>
      </c>
      <c r="C280" s="6">
        <f t="shared" si="25"/>
        <v>37931034.482758626</v>
      </c>
      <c r="D280" s="6">
        <f t="shared" si="26"/>
        <v>-1277080951.0344841</v>
      </c>
      <c r="E280" s="6">
        <f t="shared" si="29"/>
        <v>-9861628965.517252</v>
      </c>
      <c r="F280" s="6" t="str">
        <f t="shared" ca="1" si="27"/>
        <v/>
      </c>
      <c r="G280" s="6"/>
      <c r="H280" s="7">
        <f t="shared" si="28"/>
        <v>22413.793103448301</v>
      </c>
    </row>
    <row r="281" spans="1:8" x14ac:dyDescent="0.3">
      <c r="A281" s="8">
        <v>262</v>
      </c>
      <c r="B281" s="9">
        <f t="shared" si="24"/>
        <v>-1244061985.5172429</v>
      </c>
      <c r="C281" s="9">
        <f t="shared" si="25"/>
        <v>37931034.482758626</v>
      </c>
      <c r="D281" s="9">
        <f t="shared" si="26"/>
        <v>-1281993020.0000014</v>
      </c>
      <c r="E281" s="9">
        <f t="shared" si="29"/>
        <v>-9899560000.0000114</v>
      </c>
      <c r="F281" s="9" t="str">
        <f t="shared" ca="1" si="27"/>
        <v/>
      </c>
      <c r="G281" s="9"/>
      <c r="H281" s="10">
        <f t="shared" si="28"/>
        <v>22500.000000000025</v>
      </c>
    </row>
    <row r="282" spans="1:8" x14ac:dyDescent="0.3">
      <c r="A282" s="5">
        <v>263</v>
      </c>
      <c r="B282" s="6">
        <f t="shared" si="24"/>
        <v>-1248974054.4827604</v>
      </c>
      <c r="C282" s="6">
        <f t="shared" si="25"/>
        <v>37931034.482758626</v>
      </c>
      <c r="D282" s="6">
        <f t="shared" si="26"/>
        <v>-1286905088.965519</v>
      </c>
      <c r="E282" s="6">
        <f t="shared" si="29"/>
        <v>-9937491034.4827709</v>
      </c>
      <c r="F282" s="6" t="str">
        <f t="shared" ca="1" si="27"/>
        <v/>
      </c>
      <c r="G282" s="6"/>
      <c r="H282" s="7">
        <f t="shared" si="28"/>
        <v>22586.206896551754</v>
      </c>
    </row>
    <row r="283" spans="1:8" x14ac:dyDescent="0.3">
      <c r="A283" s="8">
        <v>264</v>
      </c>
      <c r="B283" s="9">
        <f t="shared" si="24"/>
        <v>-1253886123.4482777</v>
      </c>
      <c r="C283" s="9">
        <f t="shared" si="25"/>
        <v>37931034.482758626</v>
      </c>
      <c r="D283" s="9">
        <f t="shared" si="26"/>
        <v>-1291817157.9310362</v>
      </c>
      <c r="E283" s="9">
        <f t="shared" si="29"/>
        <v>-9975422068.9655304</v>
      </c>
      <c r="F283" s="9" t="str">
        <f t="shared" ca="1" si="27"/>
        <v/>
      </c>
      <c r="G283" s="9"/>
      <c r="H283" s="10">
        <f t="shared" si="28"/>
        <v>22672.413793103478</v>
      </c>
    </row>
    <row r="284" spans="1:8" x14ac:dyDescent="0.3">
      <c r="A284" s="5">
        <v>265</v>
      </c>
      <c r="B284" s="6">
        <f t="shared" si="24"/>
        <v>-1258798192.413795</v>
      </c>
      <c r="C284" s="6">
        <f t="shared" si="25"/>
        <v>37931034.482758626</v>
      </c>
      <c r="D284" s="6">
        <f t="shared" si="26"/>
        <v>-1296729226.8965535</v>
      </c>
      <c r="E284" s="6">
        <f t="shared" si="29"/>
        <v>-10013353103.44829</v>
      </c>
      <c r="F284" s="6" t="str">
        <f t="shared" ca="1" si="27"/>
        <v/>
      </c>
      <c r="G284" s="6"/>
      <c r="H284" s="7">
        <f t="shared" si="28"/>
        <v>22758.620689655203</v>
      </c>
    </row>
    <row r="285" spans="1:8" x14ac:dyDescent="0.3">
      <c r="A285" s="8">
        <v>266</v>
      </c>
      <c r="B285" s="9">
        <f t="shared" si="24"/>
        <v>-1263710261.3793125</v>
      </c>
      <c r="C285" s="9">
        <f t="shared" si="25"/>
        <v>37931034.482758626</v>
      </c>
      <c r="D285" s="9">
        <f t="shared" si="26"/>
        <v>-1301641295.862071</v>
      </c>
      <c r="E285" s="9">
        <f t="shared" si="29"/>
        <v>-10051284137.931049</v>
      </c>
      <c r="F285" s="9" t="str">
        <f t="shared" ca="1" si="27"/>
        <v/>
      </c>
      <c r="G285" s="9"/>
      <c r="H285" s="10">
        <f t="shared" si="28"/>
        <v>22844.827586206931</v>
      </c>
    </row>
    <row r="286" spans="1:8" x14ac:dyDescent="0.3">
      <c r="A286" s="5">
        <v>267</v>
      </c>
      <c r="B286" s="6">
        <f t="shared" si="24"/>
        <v>-1268622330.3448298</v>
      </c>
      <c r="C286" s="6">
        <f t="shared" si="25"/>
        <v>37931034.482758626</v>
      </c>
      <c r="D286" s="6">
        <f t="shared" si="26"/>
        <v>-1306553364.8275883</v>
      </c>
      <c r="E286" s="6">
        <f t="shared" si="29"/>
        <v>-10089215172.413809</v>
      </c>
      <c r="F286" s="6" t="str">
        <f t="shared" ca="1" si="27"/>
        <v/>
      </c>
      <c r="G286" s="6"/>
      <c r="H286" s="7">
        <f t="shared" si="28"/>
        <v>22931.034482758656</v>
      </c>
    </row>
    <row r="287" spans="1:8" x14ac:dyDescent="0.3">
      <c r="A287" s="8">
        <v>268</v>
      </c>
      <c r="B287" s="9">
        <f t="shared" si="24"/>
        <v>-1273534399.3103471</v>
      </c>
      <c r="C287" s="9">
        <f t="shared" si="25"/>
        <v>37931034.482758626</v>
      </c>
      <c r="D287" s="9">
        <f t="shared" si="26"/>
        <v>-1311465433.7931056</v>
      </c>
      <c r="E287" s="9">
        <f t="shared" si="29"/>
        <v>-10127146206.896568</v>
      </c>
      <c r="F287" s="9" t="str">
        <f t="shared" ca="1" si="27"/>
        <v/>
      </c>
      <c r="G287" s="9"/>
      <c r="H287" s="10">
        <f t="shared" si="28"/>
        <v>23017.241379310384</v>
      </c>
    </row>
    <row r="288" spans="1:8" x14ac:dyDescent="0.3">
      <c r="A288" s="5">
        <v>269</v>
      </c>
      <c r="B288" s="6">
        <f t="shared" si="24"/>
        <v>-1278446468.2758644</v>
      </c>
      <c r="C288" s="6">
        <f t="shared" si="25"/>
        <v>37931034.482758626</v>
      </c>
      <c r="D288" s="6">
        <f t="shared" si="26"/>
        <v>-1316377502.7586229</v>
      </c>
      <c r="E288" s="6">
        <f t="shared" si="29"/>
        <v>-10165077241.379328</v>
      </c>
      <c r="F288" s="6" t="str">
        <f t="shared" ca="1" si="27"/>
        <v/>
      </c>
      <c r="G288" s="6"/>
      <c r="H288" s="7">
        <f t="shared" si="28"/>
        <v>23103.448275862109</v>
      </c>
    </row>
    <row r="289" spans="1:8" x14ac:dyDescent="0.3">
      <c r="A289" s="8">
        <v>270</v>
      </c>
      <c r="B289" s="9">
        <f t="shared" si="24"/>
        <v>-1283358537.2413819</v>
      </c>
      <c r="C289" s="9">
        <f t="shared" si="25"/>
        <v>37931034.482758626</v>
      </c>
      <c r="D289" s="9">
        <f t="shared" si="26"/>
        <v>-1321289571.7241404</v>
      </c>
      <c r="E289" s="9">
        <f t="shared" si="29"/>
        <v>-10203008275.862087</v>
      </c>
      <c r="F289" s="9" t="str">
        <f t="shared" ca="1" si="27"/>
        <v/>
      </c>
      <c r="G289" s="9"/>
      <c r="H289" s="10">
        <f t="shared" si="28"/>
        <v>23189.655172413833</v>
      </c>
    </row>
    <row r="290" spans="1:8" x14ac:dyDescent="0.3">
      <c r="A290" s="5">
        <v>271</v>
      </c>
      <c r="B290" s="6">
        <f t="shared" si="24"/>
        <v>-1288270606.2068992</v>
      </c>
      <c r="C290" s="6">
        <f t="shared" si="25"/>
        <v>37931034.482758626</v>
      </c>
      <c r="D290" s="6">
        <f t="shared" si="26"/>
        <v>-1326201640.6896577</v>
      </c>
      <c r="E290" s="6">
        <f t="shared" si="29"/>
        <v>-10240939310.344847</v>
      </c>
      <c r="F290" s="6" t="str">
        <f t="shared" ca="1" si="27"/>
        <v/>
      </c>
      <c r="G290" s="6"/>
      <c r="H290" s="7">
        <f t="shared" si="28"/>
        <v>23275.862068965562</v>
      </c>
    </row>
    <row r="291" spans="1:8" x14ac:dyDescent="0.3">
      <c r="A291" s="8">
        <v>272</v>
      </c>
      <c r="B291" s="9">
        <f t="shared" si="24"/>
        <v>-1293182675.1724164</v>
      </c>
      <c r="C291" s="9">
        <f t="shared" si="25"/>
        <v>37931034.482758626</v>
      </c>
      <c r="D291" s="9">
        <f t="shared" si="26"/>
        <v>-1331113709.655175</v>
      </c>
      <c r="E291" s="9">
        <f t="shared" si="29"/>
        <v>-10278870344.827606</v>
      </c>
      <c r="F291" s="9" t="str">
        <f t="shared" ca="1" si="27"/>
        <v/>
      </c>
      <c r="G291" s="9"/>
      <c r="H291" s="10">
        <f t="shared" si="28"/>
        <v>23362.068965517286</v>
      </c>
    </row>
    <row r="292" spans="1:8" x14ac:dyDescent="0.3">
      <c r="A292" s="5">
        <v>273</v>
      </c>
      <c r="B292" s="6">
        <f t="shared" si="24"/>
        <v>-1298094744.137934</v>
      </c>
      <c r="C292" s="6">
        <f t="shared" si="25"/>
        <v>37931034.482758626</v>
      </c>
      <c r="D292" s="6">
        <f t="shared" si="26"/>
        <v>-1336025778.6206925</v>
      </c>
      <c r="E292" s="6">
        <f t="shared" si="29"/>
        <v>-10316801379.310366</v>
      </c>
      <c r="F292" s="6" t="str">
        <f t="shared" ca="1" si="27"/>
        <v/>
      </c>
      <c r="G292" s="6"/>
      <c r="H292" s="7">
        <f t="shared" si="28"/>
        <v>23448.275862069015</v>
      </c>
    </row>
    <row r="293" spans="1:8" x14ac:dyDescent="0.3">
      <c r="A293" s="8">
        <v>274</v>
      </c>
      <c r="B293" s="9">
        <f t="shared" si="24"/>
        <v>-1303006813.1034513</v>
      </c>
      <c r="C293" s="9">
        <f t="shared" si="25"/>
        <v>37931034.482758626</v>
      </c>
      <c r="D293" s="9">
        <f t="shared" si="26"/>
        <v>-1340937847.5862098</v>
      </c>
      <c r="E293" s="9">
        <f t="shared" si="29"/>
        <v>-10354732413.793125</v>
      </c>
      <c r="F293" s="9" t="str">
        <f t="shared" ca="1" si="27"/>
        <v/>
      </c>
      <c r="G293" s="9"/>
      <c r="H293" s="10">
        <f t="shared" si="28"/>
        <v>23534.482758620739</v>
      </c>
    </row>
    <row r="294" spans="1:8" x14ac:dyDescent="0.3">
      <c r="A294" s="5">
        <v>275</v>
      </c>
      <c r="B294" s="6">
        <f t="shared" si="24"/>
        <v>-1307918882.0689685</v>
      </c>
      <c r="C294" s="6">
        <f t="shared" si="25"/>
        <v>37931034.482758626</v>
      </c>
      <c r="D294" s="6">
        <f t="shared" si="26"/>
        <v>-1345849916.5517271</v>
      </c>
      <c r="E294" s="6">
        <f t="shared" si="29"/>
        <v>-10392663448.275885</v>
      </c>
      <c r="F294" s="6" t="str">
        <f t="shared" ca="1" si="27"/>
        <v/>
      </c>
      <c r="G294" s="6"/>
      <c r="H294" s="7">
        <f t="shared" si="28"/>
        <v>23620.689655172464</v>
      </c>
    </row>
    <row r="295" spans="1:8" x14ac:dyDescent="0.3">
      <c r="A295" s="8">
        <v>276</v>
      </c>
      <c r="B295" s="9">
        <f t="shared" si="24"/>
        <v>-1312830951.0344858</v>
      </c>
      <c r="C295" s="9">
        <f t="shared" si="25"/>
        <v>37931034.482758626</v>
      </c>
      <c r="D295" s="9">
        <f t="shared" si="26"/>
        <v>-1350761985.5172443</v>
      </c>
      <c r="E295" s="9">
        <f t="shared" si="29"/>
        <v>-10430594482.758644</v>
      </c>
      <c r="F295" s="9" t="str">
        <f t="shared" ca="1" si="27"/>
        <v/>
      </c>
      <c r="G295" s="9"/>
      <c r="H295" s="10">
        <f t="shared" si="28"/>
        <v>23706.896551724192</v>
      </c>
    </row>
    <row r="296" spans="1:8" x14ac:dyDescent="0.3">
      <c r="A296" s="5">
        <v>277</v>
      </c>
      <c r="B296" s="6">
        <f t="shared" si="24"/>
        <v>-1317743020.0000033</v>
      </c>
      <c r="C296" s="6">
        <f t="shared" si="25"/>
        <v>37931034.482758626</v>
      </c>
      <c r="D296" s="6">
        <f t="shared" si="26"/>
        <v>-1355674054.4827619</v>
      </c>
      <c r="E296" s="6">
        <f t="shared" si="29"/>
        <v>-10468525517.241404</v>
      </c>
      <c r="F296" s="6" t="str">
        <f t="shared" ca="1" si="27"/>
        <v/>
      </c>
      <c r="G296" s="6"/>
      <c r="H296" s="7">
        <f t="shared" si="28"/>
        <v>23793.103448275917</v>
      </c>
    </row>
    <row r="297" spans="1:8" x14ac:dyDescent="0.3">
      <c r="A297" s="8">
        <v>278</v>
      </c>
      <c r="B297" s="9">
        <f t="shared" si="24"/>
        <v>-1322655088.9655206</v>
      </c>
      <c r="C297" s="9">
        <f t="shared" si="25"/>
        <v>37931034.482758626</v>
      </c>
      <c r="D297" s="9">
        <f t="shared" si="26"/>
        <v>-1360586123.4482791</v>
      </c>
      <c r="E297" s="9">
        <f t="shared" si="29"/>
        <v>-10506456551.724163</v>
      </c>
      <c r="F297" s="9" t="str">
        <f t="shared" ca="1" si="27"/>
        <v/>
      </c>
      <c r="G297" s="9"/>
      <c r="H297" s="10">
        <f t="shared" si="28"/>
        <v>23879.310344827642</v>
      </c>
    </row>
    <row r="298" spans="1:8" x14ac:dyDescent="0.3">
      <c r="A298" s="5">
        <v>279</v>
      </c>
      <c r="B298" s="6">
        <f t="shared" si="24"/>
        <v>-1327567157.9310379</v>
      </c>
      <c r="C298" s="6">
        <f t="shared" si="25"/>
        <v>37931034.482758626</v>
      </c>
      <c r="D298" s="6">
        <f t="shared" si="26"/>
        <v>-1365498192.4137964</v>
      </c>
      <c r="E298" s="6">
        <f t="shared" si="29"/>
        <v>-10544387586.206923</v>
      </c>
      <c r="F298" s="6" t="str">
        <f t="shared" ca="1" si="27"/>
        <v/>
      </c>
      <c r="G298" s="6"/>
      <c r="H298" s="7">
        <f t="shared" si="28"/>
        <v>23965.51724137937</v>
      </c>
    </row>
    <row r="299" spans="1:8" x14ac:dyDescent="0.3">
      <c r="A299" s="8">
        <v>280</v>
      </c>
      <c r="B299" s="9">
        <f t="shared" si="24"/>
        <v>-1332479226.8965554</v>
      </c>
      <c r="C299" s="9">
        <f t="shared" si="25"/>
        <v>37931034.482758626</v>
      </c>
      <c r="D299" s="9">
        <f t="shared" si="26"/>
        <v>-1370410261.3793139</v>
      </c>
      <c r="E299" s="9">
        <f t="shared" si="29"/>
        <v>-10582318620.689682</v>
      </c>
      <c r="F299" s="9" t="str">
        <f t="shared" ca="1" si="27"/>
        <v/>
      </c>
      <c r="G299" s="9"/>
      <c r="H299" s="10">
        <f t="shared" si="28"/>
        <v>24051.724137931094</v>
      </c>
    </row>
    <row r="300" spans="1:8" x14ac:dyDescent="0.3">
      <c r="A300" s="5">
        <v>281</v>
      </c>
      <c r="B300" s="6">
        <f t="shared" si="24"/>
        <v>-1337391295.8620727</v>
      </c>
      <c r="C300" s="6">
        <f t="shared" si="25"/>
        <v>37931034.482758626</v>
      </c>
      <c r="D300" s="6">
        <f t="shared" si="26"/>
        <v>-1375322330.3448312</v>
      </c>
      <c r="E300" s="6">
        <f t="shared" si="29"/>
        <v>-10620249655.172441</v>
      </c>
      <c r="F300" s="6" t="str">
        <f t="shared" ca="1" si="27"/>
        <v/>
      </c>
      <c r="G300" s="6"/>
      <c r="H300" s="7">
        <f t="shared" si="28"/>
        <v>24137.931034482823</v>
      </c>
    </row>
    <row r="301" spans="1:8" x14ac:dyDescent="0.3">
      <c r="A301" s="8">
        <v>282</v>
      </c>
      <c r="B301" s="9">
        <f t="shared" si="24"/>
        <v>-1342303364.82759</v>
      </c>
      <c r="C301" s="9">
        <f t="shared" si="25"/>
        <v>37931034.482758626</v>
      </c>
      <c r="D301" s="9">
        <f t="shared" si="26"/>
        <v>-1380234399.3103485</v>
      </c>
      <c r="E301" s="9">
        <f t="shared" si="29"/>
        <v>-10658180689.655201</v>
      </c>
      <c r="F301" s="9" t="str">
        <f t="shared" ca="1" si="27"/>
        <v/>
      </c>
      <c r="G301" s="9"/>
      <c r="H301" s="10">
        <f t="shared" si="28"/>
        <v>24224.137931034547</v>
      </c>
    </row>
    <row r="302" spans="1:8" x14ac:dyDescent="0.3">
      <c r="A302" s="5">
        <v>283</v>
      </c>
      <c r="B302" s="6">
        <f t="shared" si="24"/>
        <v>-1347215433.7931075</v>
      </c>
      <c r="C302" s="6">
        <f t="shared" si="25"/>
        <v>37931034.482758626</v>
      </c>
      <c r="D302" s="6">
        <f t="shared" si="26"/>
        <v>-1385146468.275866</v>
      </c>
      <c r="E302" s="6">
        <f t="shared" si="29"/>
        <v>-10696111724.13796</v>
      </c>
      <c r="F302" s="6" t="str">
        <f t="shared" ca="1" si="27"/>
        <v/>
      </c>
      <c r="G302" s="6"/>
      <c r="H302" s="7">
        <f t="shared" si="28"/>
        <v>24310.344827586272</v>
      </c>
    </row>
    <row r="303" spans="1:8" x14ac:dyDescent="0.3">
      <c r="A303" s="8">
        <v>284</v>
      </c>
      <c r="B303" s="9">
        <f t="shared" si="24"/>
        <v>-1352127502.7586248</v>
      </c>
      <c r="C303" s="9">
        <f t="shared" si="25"/>
        <v>37931034.482758626</v>
      </c>
      <c r="D303" s="9">
        <f t="shared" si="26"/>
        <v>-1390058537.2413833</v>
      </c>
      <c r="E303" s="9">
        <f t="shared" si="29"/>
        <v>-10734042758.62072</v>
      </c>
      <c r="F303" s="9" t="str">
        <f t="shared" ca="1" si="27"/>
        <v/>
      </c>
      <c r="G303" s="9"/>
      <c r="H303" s="10">
        <f t="shared" si="28"/>
        <v>24396.551724138</v>
      </c>
    </row>
    <row r="304" spans="1:8" x14ac:dyDescent="0.3">
      <c r="A304" s="5">
        <v>285</v>
      </c>
      <c r="B304" s="6">
        <f t="shared" si="24"/>
        <v>-1357039571.7241421</v>
      </c>
      <c r="C304" s="6">
        <f t="shared" si="25"/>
        <v>37931034.482758626</v>
      </c>
      <c r="D304" s="6">
        <f t="shared" si="26"/>
        <v>-1394970606.2069006</v>
      </c>
      <c r="E304" s="6">
        <f t="shared" si="29"/>
        <v>-10771973793.103479</v>
      </c>
      <c r="F304" s="6" t="str">
        <f t="shared" ca="1" si="27"/>
        <v/>
      </c>
      <c r="G304" s="6"/>
      <c r="H304" s="7">
        <f t="shared" si="28"/>
        <v>24482.758620689725</v>
      </c>
    </row>
    <row r="305" spans="1:8" x14ac:dyDescent="0.3">
      <c r="A305" s="8">
        <v>286</v>
      </c>
      <c r="B305" s="9">
        <f t="shared" si="24"/>
        <v>-1361951640.6896594</v>
      </c>
      <c r="C305" s="9">
        <f t="shared" si="25"/>
        <v>37931034.482758626</v>
      </c>
      <c r="D305" s="9">
        <f t="shared" si="26"/>
        <v>-1399882675.1724179</v>
      </c>
      <c r="E305" s="9">
        <f t="shared" si="29"/>
        <v>-10809904827.586239</v>
      </c>
      <c r="F305" s="9" t="str">
        <f t="shared" ca="1" si="27"/>
        <v/>
      </c>
      <c r="G305" s="9"/>
      <c r="H305" s="10">
        <f t="shared" si="28"/>
        <v>24568.965517241453</v>
      </c>
    </row>
    <row r="306" spans="1:8" x14ac:dyDescent="0.3">
      <c r="A306" s="5">
        <v>287</v>
      </c>
      <c r="B306" s="6">
        <f t="shared" si="24"/>
        <v>-1366863709.6551769</v>
      </c>
      <c r="C306" s="6">
        <f t="shared" si="25"/>
        <v>37931034.482758626</v>
      </c>
      <c r="D306" s="6">
        <f t="shared" si="26"/>
        <v>-1404794744.1379354</v>
      </c>
      <c r="E306" s="6">
        <f t="shared" si="29"/>
        <v>-10847835862.068998</v>
      </c>
      <c r="F306" s="6" t="str">
        <f t="shared" ca="1" si="27"/>
        <v/>
      </c>
      <c r="G306" s="6"/>
      <c r="H306" s="7">
        <f t="shared" si="28"/>
        <v>24655.172413793178</v>
      </c>
    </row>
    <row r="307" spans="1:8" x14ac:dyDescent="0.3">
      <c r="A307" s="8">
        <v>288</v>
      </c>
      <c r="B307" s="9">
        <f t="shared" si="24"/>
        <v>-1371775778.6206942</v>
      </c>
      <c r="C307" s="9">
        <f t="shared" si="25"/>
        <v>37931034.482758626</v>
      </c>
      <c r="D307" s="9">
        <f t="shared" si="26"/>
        <v>-1409706813.1034527</v>
      </c>
      <c r="E307" s="9">
        <f t="shared" si="29"/>
        <v>-10885766896.551758</v>
      </c>
      <c r="F307" s="9" t="str">
        <f t="shared" ca="1" si="27"/>
        <v/>
      </c>
      <c r="G307" s="9"/>
      <c r="H307" s="10">
        <f t="shared" si="28"/>
        <v>24741.379310344902</v>
      </c>
    </row>
    <row r="308" spans="1:8" x14ac:dyDescent="0.3">
      <c r="A308" s="5">
        <v>289</v>
      </c>
      <c r="B308" s="6">
        <f t="shared" si="24"/>
        <v>-1376687847.5862114</v>
      </c>
      <c r="C308" s="6">
        <f t="shared" si="25"/>
        <v>37931034.482758626</v>
      </c>
      <c r="D308" s="6">
        <f t="shared" si="26"/>
        <v>-1414618882.06897</v>
      </c>
      <c r="E308" s="6">
        <f t="shared" si="29"/>
        <v>-10923697931.034517</v>
      </c>
      <c r="F308" s="6" t="str">
        <f t="shared" ca="1" si="27"/>
        <v/>
      </c>
      <c r="G308" s="6"/>
      <c r="H308" s="7">
        <f t="shared" si="28"/>
        <v>24827.586206896631</v>
      </c>
    </row>
    <row r="309" spans="1:8" x14ac:dyDescent="0.3">
      <c r="A309" s="8">
        <v>290</v>
      </c>
      <c r="B309" s="9">
        <f t="shared" si="24"/>
        <v>-1381599916.551729</v>
      </c>
      <c r="C309" s="9">
        <f t="shared" si="25"/>
        <v>37931034.482758626</v>
      </c>
      <c r="D309" s="9">
        <f t="shared" si="26"/>
        <v>-1419530951.0344875</v>
      </c>
      <c r="E309" s="9">
        <f t="shared" si="29"/>
        <v>-10961628965.517277</v>
      </c>
      <c r="F309" s="9" t="str">
        <f t="shared" ca="1" si="27"/>
        <v/>
      </c>
      <c r="G309" s="9"/>
      <c r="H309" s="10">
        <f t="shared" si="28"/>
        <v>24913.793103448355</v>
      </c>
    </row>
    <row r="310" spans="1:8" x14ac:dyDescent="0.3">
      <c r="A310" s="5">
        <v>291</v>
      </c>
      <c r="B310" s="6">
        <f t="shared" si="24"/>
        <v>-1386511985.5172462</v>
      </c>
      <c r="C310" s="6">
        <f t="shared" si="25"/>
        <v>37931034.482758626</v>
      </c>
      <c r="D310" s="6">
        <f t="shared" si="26"/>
        <v>-1424443020.0000048</v>
      </c>
      <c r="E310" s="6">
        <f t="shared" si="29"/>
        <v>-10999560000.000036</v>
      </c>
      <c r="F310" s="6" t="str">
        <f t="shared" ca="1" si="27"/>
        <v/>
      </c>
      <c r="G310" s="6"/>
      <c r="H310" s="7">
        <f t="shared" si="28"/>
        <v>25000.000000000084</v>
      </c>
    </row>
    <row r="311" spans="1:8" x14ac:dyDescent="0.3">
      <c r="A311" s="8">
        <v>292</v>
      </c>
      <c r="B311" s="9">
        <f t="shared" si="24"/>
        <v>-1391424054.4827635</v>
      </c>
      <c r="C311" s="9">
        <f t="shared" si="25"/>
        <v>37931034.482758626</v>
      </c>
      <c r="D311" s="9">
        <f t="shared" si="26"/>
        <v>-1429355088.9655221</v>
      </c>
      <c r="E311" s="9">
        <f t="shared" si="29"/>
        <v>-11037491034.482796</v>
      </c>
      <c r="F311" s="9" t="str">
        <f t="shared" ca="1" si="27"/>
        <v/>
      </c>
      <c r="G311" s="9"/>
      <c r="H311" s="10">
        <f t="shared" si="28"/>
        <v>25086.206896551808</v>
      </c>
    </row>
    <row r="312" spans="1:8" x14ac:dyDescent="0.3">
      <c r="A312" s="5">
        <v>293</v>
      </c>
      <c r="B312" s="6">
        <f t="shared" si="24"/>
        <v>-1396336123.4482808</v>
      </c>
      <c r="C312" s="6">
        <f t="shared" si="25"/>
        <v>37931034.482758626</v>
      </c>
      <c r="D312" s="6">
        <f t="shared" si="26"/>
        <v>-1434267157.9310393</v>
      </c>
      <c r="E312" s="6">
        <f t="shared" si="29"/>
        <v>-11075422068.965555</v>
      </c>
      <c r="F312" s="6" t="str">
        <f t="shared" ca="1" si="27"/>
        <v/>
      </c>
      <c r="G312" s="6"/>
      <c r="H312" s="7">
        <f t="shared" si="28"/>
        <v>25172.413793103533</v>
      </c>
    </row>
    <row r="313" spans="1:8" x14ac:dyDescent="0.3">
      <c r="A313" s="8">
        <v>294</v>
      </c>
      <c r="B313" s="9">
        <f t="shared" si="24"/>
        <v>-1401248192.4137983</v>
      </c>
      <c r="C313" s="9">
        <f t="shared" si="25"/>
        <v>37931034.482758626</v>
      </c>
      <c r="D313" s="9">
        <f t="shared" si="26"/>
        <v>-1439179226.8965569</v>
      </c>
      <c r="E313" s="9">
        <f t="shared" si="29"/>
        <v>-11113353103.448315</v>
      </c>
      <c r="F313" s="9" t="str">
        <f t="shared" ca="1" si="27"/>
        <v/>
      </c>
      <c r="G313" s="9"/>
      <c r="H313" s="10">
        <f t="shared" si="28"/>
        <v>25258.620689655261</v>
      </c>
    </row>
    <row r="314" spans="1:8" x14ac:dyDescent="0.3">
      <c r="A314" s="5">
        <v>295</v>
      </c>
      <c r="B314" s="6">
        <f t="shared" si="24"/>
        <v>-1406160261.3793156</v>
      </c>
      <c r="C314" s="6">
        <f t="shared" si="25"/>
        <v>37931034.482758626</v>
      </c>
      <c r="D314" s="6">
        <f t="shared" si="26"/>
        <v>-1444091295.8620741</v>
      </c>
      <c r="E314" s="6">
        <f t="shared" si="29"/>
        <v>-11151284137.931074</v>
      </c>
      <c r="F314" s="6" t="str">
        <f t="shared" ca="1" si="27"/>
        <v/>
      </c>
      <c r="G314" s="6"/>
      <c r="H314" s="7">
        <f t="shared" si="28"/>
        <v>25344.827586206986</v>
      </c>
    </row>
    <row r="315" spans="1:8" x14ac:dyDescent="0.3">
      <c r="A315" s="8">
        <v>296</v>
      </c>
      <c r="B315" s="9">
        <f t="shared" si="24"/>
        <v>-1411072330.3448329</v>
      </c>
      <c r="C315" s="9">
        <f t="shared" si="25"/>
        <v>37931034.482758626</v>
      </c>
      <c r="D315" s="9">
        <f t="shared" si="26"/>
        <v>-1449003364.8275914</v>
      </c>
      <c r="E315" s="9">
        <f t="shared" si="29"/>
        <v>-11189215172.413834</v>
      </c>
      <c r="F315" s="9" t="str">
        <f t="shared" ca="1" si="27"/>
        <v/>
      </c>
      <c r="G315" s="9"/>
      <c r="H315" s="10">
        <f t="shared" si="28"/>
        <v>25431.034482758714</v>
      </c>
    </row>
    <row r="316" spans="1:8" x14ac:dyDescent="0.3">
      <c r="A316" s="5">
        <v>297</v>
      </c>
      <c r="B316" s="6">
        <f t="shared" si="24"/>
        <v>-1415984399.3103504</v>
      </c>
      <c r="C316" s="6">
        <f t="shared" si="25"/>
        <v>37931034.482758626</v>
      </c>
      <c r="D316" s="6">
        <f t="shared" si="26"/>
        <v>-1453915433.7931089</v>
      </c>
      <c r="E316" s="6">
        <f t="shared" si="29"/>
        <v>-11227146206.896593</v>
      </c>
      <c r="F316" s="6" t="str">
        <f t="shared" ca="1" si="27"/>
        <v/>
      </c>
      <c r="G316" s="6"/>
      <c r="H316" s="7">
        <f t="shared" si="28"/>
        <v>25517.241379310439</v>
      </c>
    </row>
    <row r="317" spans="1:8" x14ac:dyDescent="0.3">
      <c r="A317" s="8">
        <v>298</v>
      </c>
      <c r="B317" s="9">
        <f t="shared" si="24"/>
        <v>-1420896468.2758677</v>
      </c>
      <c r="C317" s="9">
        <f t="shared" si="25"/>
        <v>37931034.482758626</v>
      </c>
      <c r="D317" s="9">
        <f t="shared" si="26"/>
        <v>-1458827502.7586262</v>
      </c>
      <c r="E317" s="9">
        <f t="shared" si="29"/>
        <v>-11265077241.379353</v>
      </c>
      <c r="F317" s="9" t="str">
        <f t="shared" ca="1" si="27"/>
        <v/>
      </c>
      <c r="G317" s="9"/>
      <c r="H317" s="10">
        <f t="shared" si="28"/>
        <v>25603.448275862163</v>
      </c>
    </row>
    <row r="318" spans="1:8" x14ac:dyDescent="0.3">
      <c r="A318" s="5">
        <v>299</v>
      </c>
      <c r="B318" s="6">
        <f t="shared" si="24"/>
        <v>-1425808537.241385</v>
      </c>
      <c r="C318" s="6">
        <f t="shared" si="25"/>
        <v>37931034.482758626</v>
      </c>
      <c r="D318" s="6">
        <f t="shared" si="26"/>
        <v>-1463739571.7241435</v>
      </c>
      <c r="E318" s="6">
        <f t="shared" si="29"/>
        <v>-11303008275.862112</v>
      </c>
      <c r="F318" s="6" t="str">
        <f t="shared" ca="1" si="27"/>
        <v/>
      </c>
      <c r="G318" s="6"/>
      <c r="H318" s="7">
        <f t="shared" si="28"/>
        <v>25689.655172413892</v>
      </c>
    </row>
    <row r="319" spans="1:8" x14ac:dyDescent="0.3">
      <c r="A319" s="8">
        <v>300</v>
      </c>
      <c r="B319" s="9">
        <f t="shared" si="24"/>
        <v>-1430720606.2069025</v>
      </c>
      <c r="C319" s="9">
        <f t="shared" si="25"/>
        <v>37931034.482758626</v>
      </c>
      <c r="D319" s="9">
        <f t="shared" si="26"/>
        <v>-1468651640.689661</v>
      </c>
      <c r="E319" s="9">
        <f t="shared" si="29"/>
        <v>-11340939310.344872</v>
      </c>
      <c r="F319" s="9" t="str">
        <f t="shared" ca="1" si="27"/>
        <v/>
      </c>
      <c r="G319" s="9"/>
      <c r="H319" s="10">
        <f t="shared" si="28"/>
        <v>25775.862068965616</v>
      </c>
    </row>
    <row r="320" spans="1:8" x14ac:dyDescent="0.3">
      <c r="A320" s="5">
        <v>301</v>
      </c>
      <c r="B320" s="6">
        <f t="shared" si="24"/>
        <v>-1435632675.1724198</v>
      </c>
      <c r="C320" s="6">
        <f t="shared" si="25"/>
        <v>37931034.482758626</v>
      </c>
      <c r="D320" s="6">
        <f t="shared" si="26"/>
        <v>-1473563709.6551783</v>
      </c>
      <c r="E320" s="6">
        <f t="shared" si="29"/>
        <v>-11378870344.827631</v>
      </c>
      <c r="F320" s="6" t="str">
        <f t="shared" ca="1" si="27"/>
        <v/>
      </c>
      <c r="G320" s="6"/>
      <c r="H320" s="7">
        <f t="shared" si="28"/>
        <v>25862.068965517345</v>
      </c>
    </row>
    <row r="321" spans="1:8" x14ac:dyDescent="0.3">
      <c r="A321" s="8">
        <v>302</v>
      </c>
      <c r="B321" s="9">
        <f t="shared" si="24"/>
        <v>-1440544744.1379371</v>
      </c>
      <c r="C321" s="9">
        <f t="shared" si="25"/>
        <v>37931034.482758626</v>
      </c>
      <c r="D321" s="9">
        <f t="shared" si="26"/>
        <v>-1478475778.6206956</v>
      </c>
      <c r="E321" s="9">
        <f t="shared" si="29"/>
        <v>-11416801379.31039</v>
      </c>
      <c r="F321" s="9" t="str">
        <f t="shared" ca="1" si="27"/>
        <v/>
      </c>
      <c r="G321" s="9"/>
      <c r="H321" s="10">
        <f t="shared" si="28"/>
        <v>25948.275862069069</v>
      </c>
    </row>
    <row r="322" spans="1:8" x14ac:dyDescent="0.3">
      <c r="A322" s="5">
        <v>303</v>
      </c>
      <c r="B322" s="6">
        <f t="shared" si="24"/>
        <v>-1445456813.1034544</v>
      </c>
      <c r="C322" s="6">
        <f t="shared" si="25"/>
        <v>37931034.482758626</v>
      </c>
      <c r="D322" s="6">
        <f t="shared" si="26"/>
        <v>-1483387847.5862129</v>
      </c>
      <c r="E322" s="6">
        <f t="shared" si="29"/>
        <v>-11454732413.79315</v>
      </c>
      <c r="F322" s="6" t="str">
        <f t="shared" ca="1" si="27"/>
        <v/>
      </c>
      <c r="G322" s="6"/>
      <c r="H322" s="7">
        <f t="shared" si="28"/>
        <v>26034.482758620794</v>
      </c>
    </row>
    <row r="323" spans="1:8" x14ac:dyDescent="0.3">
      <c r="A323" s="8">
        <v>304</v>
      </c>
      <c r="B323" s="9">
        <f t="shared" si="24"/>
        <v>-1450368882.0689719</v>
      </c>
      <c r="C323" s="9">
        <f t="shared" si="25"/>
        <v>37931034.482758626</v>
      </c>
      <c r="D323" s="9">
        <f t="shared" si="26"/>
        <v>-1488299916.5517304</v>
      </c>
      <c r="E323" s="9">
        <f t="shared" si="29"/>
        <v>-11492663448.275909</v>
      </c>
      <c r="F323" s="9" t="str">
        <f t="shared" ca="1" si="27"/>
        <v/>
      </c>
      <c r="G323" s="9"/>
      <c r="H323" s="10">
        <f t="shared" si="28"/>
        <v>26120.689655172522</v>
      </c>
    </row>
    <row r="324" spans="1:8" x14ac:dyDescent="0.3">
      <c r="A324" s="5">
        <v>305</v>
      </c>
      <c r="B324" s="6">
        <f t="shared" si="24"/>
        <v>-1455280951.0344892</v>
      </c>
      <c r="C324" s="6">
        <f t="shared" si="25"/>
        <v>37931034.482758626</v>
      </c>
      <c r="D324" s="6">
        <f t="shared" si="26"/>
        <v>-1493211985.5172477</v>
      </c>
      <c r="E324" s="6">
        <f t="shared" si="29"/>
        <v>-11530594482.758669</v>
      </c>
      <c r="F324" s="6" t="str">
        <f t="shared" ca="1" si="27"/>
        <v/>
      </c>
      <c r="G324" s="6"/>
      <c r="H324" s="7">
        <f t="shared" si="28"/>
        <v>26206.896551724247</v>
      </c>
    </row>
    <row r="325" spans="1:8" x14ac:dyDescent="0.3">
      <c r="A325" s="8">
        <v>306</v>
      </c>
      <c r="B325" s="9">
        <f t="shared" si="24"/>
        <v>-1460193020.0000064</v>
      </c>
      <c r="C325" s="9">
        <f t="shared" si="25"/>
        <v>37931034.482758626</v>
      </c>
      <c r="D325" s="9">
        <f t="shared" si="26"/>
        <v>-1498124054.482765</v>
      </c>
      <c r="E325" s="9">
        <f t="shared" si="29"/>
        <v>-11568525517.241428</v>
      </c>
      <c r="F325" s="9" t="str">
        <f t="shared" ca="1" si="27"/>
        <v/>
      </c>
      <c r="G325" s="9"/>
      <c r="H325" s="10">
        <f t="shared" si="28"/>
        <v>26293.103448275975</v>
      </c>
    </row>
    <row r="326" spans="1:8" x14ac:dyDescent="0.3">
      <c r="A326" s="5">
        <v>307</v>
      </c>
      <c r="B326" s="6">
        <f t="shared" si="24"/>
        <v>-1465105088.965524</v>
      </c>
      <c r="C326" s="6">
        <f t="shared" si="25"/>
        <v>37931034.482758626</v>
      </c>
      <c r="D326" s="6">
        <f t="shared" si="26"/>
        <v>-1503036123.4482825</v>
      </c>
      <c r="E326" s="6">
        <f t="shared" si="29"/>
        <v>-11606456551.724188</v>
      </c>
      <c r="F326" s="6" t="str">
        <f t="shared" ca="1" si="27"/>
        <v/>
      </c>
      <c r="G326" s="6"/>
      <c r="H326" s="7">
        <f t="shared" si="28"/>
        <v>26379.3103448277</v>
      </c>
    </row>
    <row r="327" spans="1:8" x14ac:dyDescent="0.3">
      <c r="A327" s="8">
        <v>308</v>
      </c>
      <c r="B327" s="9">
        <f t="shared" si="24"/>
        <v>-1470017157.9310412</v>
      </c>
      <c r="C327" s="9">
        <f t="shared" si="25"/>
        <v>37931034.482758626</v>
      </c>
      <c r="D327" s="9">
        <f t="shared" si="26"/>
        <v>-1507948192.4137998</v>
      </c>
      <c r="E327" s="9">
        <f t="shared" si="29"/>
        <v>-11644387586.206947</v>
      </c>
      <c r="F327" s="9" t="str">
        <f t="shared" ca="1" si="27"/>
        <v/>
      </c>
      <c r="G327" s="9"/>
      <c r="H327" s="10">
        <f t="shared" si="28"/>
        <v>26465.517241379424</v>
      </c>
    </row>
    <row r="328" spans="1:8" x14ac:dyDescent="0.3">
      <c r="A328" s="5">
        <v>309</v>
      </c>
      <c r="B328" s="6">
        <f t="shared" si="24"/>
        <v>-1474929226.8965585</v>
      </c>
      <c r="C328" s="6">
        <f t="shared" si="25"/>
        <v>37931034.482758626</v>
      </c>
      <c r="D328" s="6">
        <f t="shared" si="26"/>
        <v>-1512860261.379317</v>
      </c>
      <c r="E328" s="6">
        <f t="shared" si="29"/>
        <v>-11682318620.689707</v>
      </c>
      <c r="F328" s="6" t="str">
        <f t="shared" ca="1" si="27"/>
        <v/>
      </c>
      <c r="G328" s="6"/>
      <c r="H328" s="7">
        <f t="shared" si="28"/>
        <v>26551.724137931153</v>
      </c>
    </row>
    <row r="329" spans="1:8" x14ac:dyDescent="0.3">
      <c r="A329" s="8">
        <v>310</v>
      </c>
      <c r="B329" s="9">
        <f t="shared" si="24"/>
        <v>-1479841295.8620758</v>
      </c>
      <c r="C329" s="9">
        <f t="shared" si="25"/>
        <v>37931034.482758626</v>
      </c>
      <c r="D329" s="9">
        <f t="shared" si="26"/>
        <v>-1517772330.3448343</v>
      </c>
      <c r="E329" s="9">
        <f t="shared" si="29"/>
        <v>-11720249655.172466</v>
      </c>
      <c r="F329" s="9" t="str">
        <f t="shared" ca="1" si="27"/>
        <v/>
      </c>
      <c r="G329" s="9"/>
      <c r="H329" s="10">
        <f t="shared" si="28"/>
        <v>26637.931034482877</v>
      </c>
    </row>
    <row r="330" spans="1:8" x14ac:dyDescent="0.3">
      <c r="A330" s="5">
        <v>311</v>
      </c>
      <c r="B330" s="6">
        <f t="shared" si="24"/>
        <v>-1484753364.8275933</v>
      </c>
      <c r="C330" s="6">
        <f t="shared" si="25"/>
        <v>37931034.482758626</v>
      </c>
      <c r="D330" s="6">
        <f t="shared" si="26"/>
        <v>-1522684399.3103518</v>
      </c>
      <c r="E330" s="6">
        <f t="shared" si="29"/>
        <v>-11758180689.655226</v>
      </c>
      <c r="F330" s="6" t="str">
        <f t="shared" ca="1" si="27"/>
        <v/>
      </c>
      <c r="G330" s="6"/>
      <c r="H330" s="7">
        <f t="shared" si="28"/>
        <v>26724.137931034606</v>
      </c>
    </row>
    <row r="331" spans="1:8" x14ac:dyDescent="0.3">
      <c r="A331" s="8">
        <v>312</v>
      </c>
      <c r="B331" s="9">
        <f t="shared" si="24"/>
        <v>-1489665433.7931106</v>
      </c>
      <c r="C331" s="9">
        <f t="shared" si="25"/>
        <v>37931034.482758626</v>
      </c>
      <c r="D331" s="9">
        <f t="shared" si="26"/>
        <v>-1527596468.2758691</v>
      </c>
      <c r="E331" s="9">
        <f t="shared" si="29"/>
        <v>-11796111724.137985</v>
      </c>
      <c r="F331" s="9" t="str">
        <f t="shared" ca="1" si="27"/>
        <v/>
      </c>
      <c r="G331" s="9"/>
      <c r="H331" s="10">
        <f t="shared" si="28"/>
        <v>26810.34482758633</v>
      </c>
    </row>
    <row r="332" spans="1:8" x14ac:dyDescent="0.3">
      <c r="A332" s="5">
        <v>313</v>
      </c>
      <c r="B332" s="6">
        <f t="shared" si="24"/>
        <v>-1494577502.7586279</v>
      </c>
      <c r="C332" s="6">
        <f t="shared" si="25"/>
        <v>37931034.482758626</v>
      </c>
      <c r="D332" s="6">
        <f t="shared" si="26"/>
        <v>-1532508537.2413864</v>
      </c>
      <c r="E332" s="6">
        <f t="shared" si="29"/>
        <v>-11834042758.620745</v>
      </c>
      <c r="F332" s="6" t="str">
        <f t="shared" ca="1" si="27"/>
        <v/>
      </c>
      <c r="G332" s="6"/>
      <c r="H332" s="7">
        <f t="shared" si="28"/>
        <v>26896.551724138055</v>
      </c>
    </row>
    <row r="333" spans="1:8" x14ac:dyDescent="0.3">
      <c r="A333" s="8">
        <v>314</v>
      </c>
      <c r="B333" s="9">
        <f t="shared" si="24"/>
        <v>-1499489571.7241454</v>
      </c>
      <c r="C333" s="9">
        <f t="shared" si="25"/>
        <v>37931034.482758626</v>
      </c>
      <c r="D333" s="9">
        <f t="shared" si="26"/>
        <v>-1537420606.2069039</v>
      </c>
      <c r="E333" s="9">
        <f t="shared" si="29"/>
        <v>-11871973793.103504</v>
      </c>
      <c r="F333" s="9" t="str">
        <f t="shared" ca="1" si="27"/>
        <v/>
      </c>
      <c r="G333" s="9"/>
      <c r="H333" s="10">
        <f t="shared" si="28"/>
        <v>26982.758620689783</v>
      </c>
    </row>
    <row r="334" spans="1:8" x14ac:dyDescent="0.3">
      <c r="A334" s="5">
        <v>315</v>
      </c>
      <c r="B334" s="6">
        <f t="shared" si="24"/>
        <v>-1504401640.6896627</v>
      </c>
      <c r="C334" s="6">
        <f t="shared" si="25"/>
        <v>37931034.482758626</v>
      </c>
      <c r="D334" s="6">
        <f t="shared" si="26"/>
        <v>-1542332675.1724212</v>
      </c>
      <c r="E334" s="6">
        <f t="shared" si="29"/>
        <v>-11909904827.586264</v>
      </c>
      <c r="F334" s="6" t="str">
        <f t="shared" ca="1" si="27"/>
        <v/>
      </c>
      <c r="G334" s="6"/>
      <c r="H334" s="7">
        <f t="shared" si="28"/>
        <v>27068.965517241508</v>
      </c>
    </row>
    <row r="335" spans="1:8" x14ac:dyDescent="0.3">
      <c r="A335" s="8">
        <v>316</v>
      </c>
      <c r="B335" s="9">
        <f t="shared" si="24"/>
        <v>-1509313709.65518</v>
      </c>
      <c r="C335" s="9">
        <f t="shared" si="25"/>
        <v>37931034.482758626</v>
      </c>
      <c r="D335" s="9">
        <f t="shared" si="26"/>
        <v>-1547244744.1379385</v>
      </c>
      <c r="E335" s="9">
        <f t="shared" si="29"/>
        <v>-11947835862.069023</v>
      </c>
      <c r="F335" s="9" t="str">
        <f t="shared" ca="1" si="27"/>
        <v/>
      </c>
      <c r="G335" s="9"/>
      <c r="H335" s="10">
        <f t="shared" si="28"/>
        <v>27155.172413793236</v>
      </c>
    </row>
    <row r="336" spans="1:8" x14ac:dyDescent="0.3">
      <c r="A336" s="5">
        <v>317</v>
      </c>
      <c r="B336" s="6">
        <f t="shared" si="24"/>
        <v>-1514225778.6206973</v>
      </c>
      <c r="C336" s="6">
        <f t="shared" si="25"/>
        <v>37931034.482758626</v>
      </c>
      <c r="D336" s="6">
        <f t="shared" si="26"/>
        <v>-1552156813.1034558</v>
      </c>
      <c r="E336" s="6">
        <f t="shared" si="29"/>
        <v>-11985766896.551783</v>
      </c>
      <c r="F336" s="6" t="str">
        <f t="shared" ca="1" si="27"/>
        <v/>
      </c>
      <c r="G336" s="6"/>
      <c r="H336" s="7">
        <f t="shared" si="28"/>
        <v>27241.379310344961</v>
      </c>
    </row>
    <row r="337" spans="1:8" x14ac:dyDescent="0.3">
      <c r="A337" s="8">
        <v>318</v>
      </c>
      <c r="B337" s="9">
        <f t="shared" si="24"/>
        <v>-1519137847.5862148</v>
      </c>
      <c r="C337" s="9">
        <f t="shared" si="25"/>
        <v>37931034.482758626</v>
      </c>
      <c r="D337" s="9">
        <f t="shared" si="26"/>
        <v>-1557068882.0689733</v>
      </c>
      <c r="E337" s="9">
        <f t="shared" si="29"/>
        <v>-12023697931.034542</v>
      </c>
      <c r="F337" s="9" t="str">
        <f t="shared" ca="1" si="27"/>
        <v/>
      </c>
      <c r="G337" s="9"/>
      <c r="H337" s="10">
        <f t="shared" si="28"/>
        <v>27327.586206896685</v>
      </c>
    </row>
    <row r="338" spans="1:8" x14ac:dyDescent="0.3">
      <c r="A338" s="5">
        <v>319</v>
      </c>
      <c r="B338" s="6">
        <f t="shared" si="24"/>
        <v>-1524049916.5517321</v>
      </c>
      <c r="C338" s="6">
        <f t="shared" si="25"/>
        <v>37931034.482758626</v>
      </c>
      <c r="D338" s="6">
        <f t="shared" si="26"/>
        <v>-1561980951.0344906</v>
      </c>
      <c r="E338" s="6">
        <f t="shared" si="29"/>
        <v>-12061628965.517302</v>
      </c>
      <c r="F338" s="6" t="str">
        <f t="shared" ca="1" si="27"/>
        <v/>
      </c>
      <c r="G338" s="6"/>
      <c r="H338" s="7">
        <f t="shared" si="28"/>
        <v>27413.793103448414</v>
      </c>
    </row>
    <row r="339" spans="1:8" x14ac:dyDescent="0.3">
      <c r="A339" s="8">
        <v>320</v>
      </c>
      <c r="B339" s="9">
        <f t="shared" si="24"/>
        <v>-1528961985.5172493</v>
      </c>
      <c r="C339" s="9">
        <f t="shared" si="25"/>
        <v>37931034.482758626</v>
      </c>
      <c r="D339" s="9">
        <f t="shared" si="26"/>
        <v>-1566893020.0000079</v>
      </c>
      <c r="E339" s="9">
        <f t="shared" si="29"/>
        <v>-12099560000.000061</v>
      </c>
      <c r="F339" s="9" t="str">
        <f t="shared" ca="1" si="27"/>
        <v/>
      </c>
      <c r="G339" s="9"/>
      <c r="H339" s="10">
        <f t="shared" si="28"/>
        <v>27500.000000000138</v>
      </c>
    </row>
    <row r="340" spans="1:8" x14ac:dyDescent="0.3">
      <c r="A340" s="5">
        <v>321</v>
      </c>
      <c r="B340" s="6">
        <f t="shared" ref="B340:B379" si="30">C340+D340</f>
        <v>-1533874054.4827669</v>
      </c>
      <c r="C340" s="6">
        <f t="shared" ref="C340:C379" si="31">$B$8/$B$12</f>
        <v>37931034.482758626</v>
      </c>
      <c r="D340" s="6">
        <f t="shared" ref="D340:D379" si="32">E340*$B$15</f>
        <v>-1571805088.9655254</v>
      </c>
      <c r="E340" s="6">
        <f t="shared" si="29"/>
        <v>-12137491034.482821</v>
      </c>
      <c r="F340" s="6" t="str">
        <f t="shared" ref="F340:F379" ca="1" si="33">B340*(1+$B$14)</f>
        <v/>
      </c>
      <c r="G340" s="6"/>
      <c r="H340" s="7">
        <f t="shared" ref="H340:H379" si="34">1-E340/$B$8</f>
        <v>27586.206896551867</v>
      </c>
    </row>
    <row r="341" spans="1:8" x14ac:dyDescent="0.3">
      <c r="A341" s="8">
        <v>322</v>
      </c>
      <c r="B341" s="9">
        <f t="shared" si="30"/>
        <v>-1538786123.4482841</v>
      </c>
      <c r="C341" s="9">
        <f t="shared" si="31"/>
        <v>37931034.482758626</v>
      </c>
      <c r="D341" s="9">
        <f t="shared" si="32"/>
        <v>-1576717157.9310427</v>
      </c>
      <c r="E341" s="9">
        <f t="shared" ref="E341:E379" si="35">E340-C341</f>
        <v>-12175422068.96558</v>
      </c>
      <c r="F341" s="9" t="str">
        <f t="shared" ca="1" si="33"/>
        <v/>
      </c>
      <c r="G341" s="9"/>
      <c r="H341" s="10">
        <f t="shared" si="34"/>
        <v>27672.413793103591</v>
      </c>
    </row>
    <row r="342" spans="1:8" x14ac:dyDescent="0.3">
      <c r="A342" s="5">
        <v>323</v>
      </c>
      <c r="B342" s="6">
        <f t="shared" si="30"/>
        <v>-1543698192.4138014</v>
      </c>
      <c r="C342" s="6">
        <f t="shared" si="31"/>
        <v>37931034.482758626</v>
      </c>
      <c r="D342" s="6">
        <f t="shared" si="32"/>
        <v>-1581629226.89656</v>
      </c>
      <c r="E342" s="6">
        <f t="shared" si="35"/>
        <v>-12213353103.448339</v>
      </c>
      <c r="F342" s="6" t="str">
        <f t="shared" ca="1" si="33"/>
        <v/>
      </c>
      <c r="G342" s="6"/>
      <c r="H342" s="7">
        <f t="shared" si="34"/>
        <v>27758.620689655316</v>
      </c>
    </row>
    <row r="343" spans="1:8" x14ac:dyDescent="0.3">
      <c r="A343" s="8">
        <v>324</v>
      </c>
      <c r="B343" s="9">
        <f t="shared" si="30"/>
        <v>-1548610261.379319</v>
      </c>
      <c r="C343" s="9">
        <f t="shared" si="31"/>
        <v>37931034.482758626</v>
      </c>
      <c r="D343" s="9">
        <f t="shared" si="32"/>
        <v>-1586541295.8620775</v>
      </c>
      <c r="E343" s="9">
        <f t="shared" si="35"/>
        <v>-12251284137.931099</v>
      </c>
      <c r="F343" s="9" t="str">
        <f t="shared" ca="1" si="33"/>
        <v/>
      </c>
      <c r="G343" s="9"/>
      <c r="H343" s="10">
        <f t="shared" si="34"/>
        <v>27844.827586207044</v>
      </c>
    </row>
    <row r="344" spans="1:8" x14ac:dyDescent="0.3">
      <c r="A344" s="5">
        <v>325</v>
      </c>
      <c r="B344" s="6">
        <f t="shared" si="30"/>
        <v>-1553522330.3448362</v>
      </c>
      <c r="C344" s="6">
        <f t="shared" si="31"/>
        <v>37931034.482758626</v>
      </c>
      <c r="D344" s="6">
        <f t="shared" si="32"/>
        <v>-1591453364.8275948</v>
      </c>
      <c r="E344" s="6">
        <f t="shared" si="35"/>
        <v>-12289215172.413858</v>
      </c>
      <c r="F344" s="6" t="str">
        <f t="shared" ca="1" si="33"/>
        <v/>
      </c>
      <c r="G344" s="6"/>
      <c r="H344" s="7">
        <f t="shared" si="34"/>
        <v>27931.034482758769</v>
      </c>
    </row>
    <row r="345" spans="1:8" x14ac:dyDescent="0.3">
      <c r="A345" s="8">
        <v>326</v>
      </c>
      <c r="B345" s="9">
        <f t="shared" si="30"/>
        <v>-1558434399.3103535</v>
      </c>
      <c r="C345" s="9">
        <f t="shared" si="31"/>
        <v>37931034.482758626</v>
      </c>
      <c r="D345" s="9">
        <f t="shared" si="32"/>
        <v>-1596365433.793112</v>
      </c>
      <c r="E345" s="9">
        <f t="shared" si="35"/>
        <v>-12327146206.896618</v>
      </c>
      <c r="F345" s="9" t="str">
        <f t="shared" ca="1" si="33"/>
        <v/>
      </c>
      <c r="G345" s="9"/>
      <c r="H345" s="10">
        <f t="shared" si="34"/>
        <v>28017.241379310497</v>
      </c>
    </row>
    <row r="346" spans="1:8" x14ac:dyDescent="0.3">
      <c r="A346" s="5">
        <v>327</v>
      </c>
      <c r="B346" s="6">
        <f t="shared" si="30"/>
        <v>-1563346468.2758708</v>
      </c>
      <c r="C346" s="6">
        <f t="shared" si="31"/>
        <v>37931034.482758626</v>
      </c>
      <c r="D346" s="6">
        <f t="shared" si="32"/>
        <v>-1601277502.7586293</v>
      </c>
      <c r="E346" s="6">
        <f t="shared" si="35"/>
        <v>-12365077241.379377</v>
      </c>
      <c r="F346" s="6" t="str">
        <f t="shared" ca="1" si="33"/>
        <v/>
      </c>
      <c r="G346" s="6"/>
      <c r="H346" s="7">
        <f t="shared" si="34"/>
        <v>28103.448275862222</v>
      </c>
    </row>
    <row r="347" spans="1:8" x14ac:dyDescent="0.3">
      <c r="A347" s="8">
        <v>328</v>
      </c>
      <c r="B347" s="9">
        <f t="shared" si="30"/>
        <v>-1568258537.2413883</v>
      </c>
      <c r="C347" s="9">
        <f t="shared" si="31"/>
        <v>37931034.482758626</v>
      </c>
      <c r="D347" s="9">
        <f t="shared" si="32"/>
        <v>-1606189571.7241468</v>
      </c>
      <c r="E347" s="9">
        <f t="shared" si="35"/>
        <v>-12403008275.862137</v>
      </c>
      <c r="F347" s="9" t="str">
        <f t="shared" ca="1" si="33"/>
        <v/>
      </c>
      <c r="G347" s="9"/>
      <c r="H347" s="10">
        <f t="shared" si="34"/>
        <v>28189.655172413946</v>
      </c>
    </row>
    <row r="348" spans="1:8" x14ac:dyDescent="0.3">
      <c r="A348" s="5">
        <v>329</v>
      </c>
      <c r="B348" s="6">
        <f t="shared" si="30"/>
        <v>-1573170606.2069056</v>
      </c>
      <c r="C348" s="6">
        <f t="shared" si="31"/>
        <v>37931034.482758626</v>
      </c>
      <c r="D348" s="6">
        <f t="shared" si="32"/>
        <v>-1611101640.6896641</v>
      </c>
      <c r="E348" s="6">
        <f t="shared" si="35"/>
        <v>-12440939310.344896</v>
      </c>
      <c r="F348" s="6" t="str">
        <f t="shared" ca="1" si="33"/>
        <v/>
      </c>
      <c r="G348" s="6"/>
      <c r="H348" s="7">
        <f t="shared" si="34"/>
        <v>28275.862068965675</v>
      </c>
    </row>
    <row r="349" spans="1:8" x14ac:dyDescent="0.3">
      <c r="A349" s="8">
        <v>330</v>
      </c>
      <c r="B349" s="9">
        <f t="shared" si="30"/>
        <v>-1578082675.1724229</v>
      </c>
      <c r="C349" s="9">
        <f t="shared" si="31"/>
        <v>37931034.482758626</v>
      </c>
      <c r="D349" s="9">
        <f t="shared" si="32"/>
        <v>-1616013709.6551814</v>
      </c>
      <c r="E349" s="9">
        <f t="shared" si="35"/>
        <v>-12478870344.827656</v>
      </c>
      <c r="F349" s="9" t="str">
        <f t="shared" ca="1" si="33"/>
        <v/>
      </c>
      <c r="G349" s="9"/>
      <c r="H349" s="10">
        <f t="shared" si="34"/>
        <v>28362.068965517399</v>
      </c>
    </row>
    <row r="350" spans="1:8" x14ac:dyDescent="0.3">
      <c r="A350" s="5">
        <v>331</v>
      </c>
      <c r="B350" s="6">
        <f t="shared" si="30"/>
        <v>-1582994744.1379404</v>
      </c>
      <c r="C350" s="6">
        <f t="shared" si="31"/>
        <v>37931034.482758626</v>
      </c>
      <c r="D350" s="6">
        <f t="shared" si="32"/>
        <v>-1620925778.6206989</v>
      </c>
      <c r="E350" s="6">
        <f t="shared" si="35"/>
        <v>-12516801379.310415</v>
      </c>
      <c r="F350" s="6" t="str">
        <f t="shared" ca="1" si="33"/>
        <v/>
      </c>
      <c r="G350" s="6"/>
      <c r="H350" s="7">
        <f t="shared" si="34"/>
        <v>28448.275862069124</v>
      </c>
    </row>
    <row r="351" spans="1:8" x14ac:dyDescent="0.3">
      <c r="A351" s="8">
        <v>332</v>
      </c>
      <c r="B351" s="9">
        <f t="shared" si="30"/>
        <v>-1587906813.1034577</v>
      </c>
      <c r="C351" s="9">
        <f t="shared" si="31"/>
        <v>37931034.482758626</v>
      </c>
      <c r="D351" s="9">
        <f t="shared" si="32"/>
        <v>-1625837847.5862162</v>
      </c>
      <c r="E351" s="9">
        <f t="shared" si="35"/>
        <v>-12554732413.793175</v>
      </c>
      <c r="F351" s="9" t="str">
        <f t="shared" ca="1" si="33"/>
        <v/>
      </c>
      <c r="G351" s="9"/>
      <c r="H351" s="10">
        <f t="shared" si="34"/>
        <v>28534.482758620852</v>
      </c>
    </row>
    <row r="352" spans="1:8" x14ac:dyDescent="0.3">
      <c r="A352" s="5">
        <v>333</v>
      </c>
      <c r="B352" s="6">
        <f t="shared" si="30"/>
        <v>-1592818882.068975</v>
      </c>
      <c r="C352" s="6">
        <f t="shared" si="31"/>
        <v>37931034.482758626</v>
      </c>
      <c r="D352" s="6">
        <f t="shared" si="32"/>
        <v>-1630749916.5517335</v>
      </c>
      <c r="E352" s="6">
        <f t="shared" si="35"/>
        <v>-12592663448.275934</v>
      </c>
      <c r="F352" s="6" t="str">
        <f t="shared" ca="1" si="33"/>
        <v/>
      </c>
      <c r="G352" s="6"/>
      <c r="H352" s="7">
        <f t="shared" si="34"/>
        <v>28620.689655172577</v>
      </c>
    </row>
    <row r="353" spans="1:8" x14ac:dyDescent="0.3">
      <c r="A353" s="8">
        <v>334</v>
      </c>
      <c r="B353" s="9">
        <f t="shared" si="30"/>
        <v>-1597730951.0344923</v>
      </c>
      <c r="C353" s="9">
        <f t="shared" si="31"/>
        <v>37931034.482758626</v>
      </c>
      <c r="D353" s="9">
        <f t="shared" si="32"/>
        <v>-1635661985.5172508</v>
      </c>
      <c r="E353" s="9">
        <f t="shared" si="35"/>
        <v>-12630594482.758694</v>
      </c>
      <c r="F353" s="9" t="str">
        <f t="shared" ca="1" si="33"/>
        <v/>
      </c>
      <c r="G353" s="9"/>
      <c r="H353" s="10">
        <f t="shared" si="34"/>
        <v>28706.896551724305</v>
      </c>
    </row>
    <row r="354" spans="1:8" x14ac:dyDescent="0.3">
      <c r="A354" s="5">
        <v>335</v>
      </c>
      <c r="B354" s="6">
        <f t="shared" si="30"/>
        <v>-1602643020.0000098</v>
      </c>
      <c r="C354" s="6">
        <f t="shared" si="31"/>
        <v>37931034.482758626</v>
      </c>
      <c r="D354" s="6">
        <f t="shared" si="32"/>
        <v>-1640574054.4827683</v>
      </c>
      <c r="E354" s="6">
        <f t="shared" si="35"/>
        <v>-12668525517.241453</v>
      </c>
      <c r="F354" s="6" t="str">
        <f t="shared" ca="1" si="33"/>
        <v/>
      </c>
      <c r="G354" s="6"/>
      <c r="H354" s="7">
        <f t="shared" si="34"/>
        <v>28793.10344827603</v>
      </c>
    </row>
    <row r="355" spans="1:8" x14ac:dyDescent="0.3">
      <c r="A355" s="8">
        <v>336</v>
      </c>
      <c r="B355" s="9">
        <f t="shared" si="30"/>
        <v>-1607555088.9655271</v>
      </c>
      <c r="C355" s="9">
        <f t="shared" si="31"/>
        <v>37931034.482758626</v>
      </c>
      <c r="D355" s="9">
        <f t="shared" si="32"/>
        <v>-1645486123.4482856</v>
      </c>
      <c r="E355" s="9">
        <f t="shared" si="35"/>
        <v>-12706456551.724213</v>
      </c>
      <c r="F355" s="9" t="str">
        <f t="shared" ca="1" si="33"/>
        <v/>
      </c>
      <c r="G355" s="9"/>
      <c r="H355" s="10">
        <f t="shared" si="34"/>
        <v>28879.310344827754</v>
      </c>
    </row>
    <row r="356" spans="1:8" x14ac:dyDescent="0.3">
      <c r="A356" s="5">
        <v>337</v>
      </c>
      <c r="B356" s="6">
        <f t="shared" si="30"/>
        <v>-1612467157.9310443</v>
      </c>
      <c r="C356" s="6">
        <f t="shared" si="31"/>
        <v>37931034.482758626</v>
      </c>
      <c r="D356" s="6">
        <f t="shared" si="32"/>
        <v>-1650398192.4138029</v>
      </c>
      <c r="E356" s="6">
        <f t="shared" si="35"/>
        <v>-12744387586.206972</v>
      </c>
      <c r="F356" s="6" t="str">
        <f t="shared" ca="1" si="33"/>
        <v/>
      </c>
      <c r="G356" s="6"/>
      <c r="H356" s="7">
        <f t="shared" si="34"/>
        <v>28965.517241379483</v>
      </c>
    </row>
    <row r="357" spans="1:8" x14ac:dyDescent="0.3">
      <c r="A357" s="8">
        <v>338</v>
      </c>
      <c r="B357" s="9">
        <f t="shared" si="30"/>
        <v>-1617379226.8965619</v>
      </c>
      <c r="C357" s="9">
        <f t="shared" si="31"/>
        <v>37931034.482758626</v>
      </c>
      <c r="D357" s="9">
        <f t="shared" si="32"/>
        <v>-1655310261.3793204</v>
      </c>
      <c r="E357" s="9">
        <f t="shared" si="35"/>
        <v>-12782318620.689732</v>
      </c>
      <c r="F357" s="9" t="str">
        <f t="shared" ca="1" si="33"/>
        <v/>
      </c>
      <c r="G357" s="9"/>
      <c r="H357" s="10">
        <f t="shared" si="34"/>
        <v>29051.724137931207</v>
      </c>
    </row>
    <row r="358" spans="1:8" x14ac:dyDescent="0.3">
      <c r="A358" s="5">
        <v>339</v>
      </c>
      <c r="B358" s="6">
        <f t="shared" si="30"/>
        <v>-1622291295.8620791</v>
      </c>
      <c r="C358" s="6">
        <f t="shared" si="31"/>
        <v>37931034.482758626</v>
      </c>
      <c r="D358" s="6">
        <f t="shared" si="32"/>
        <v>-1660222330.3448377</v>
      </c>
      <c r="E358" s="6">
        <f t="shared" si="35"/>
        <v>-12820249655.172491</v>
      </c>
      <c r="F358" s="6" t="str">
        <f t="shared" ca="1" si="33"/>
        <v/>
      </c>
      <c r="G358" s="6"/>
      <c r="H358" s="7">
        <f t="shared" si="34"/>
        <v>29137.931034482936</v>
      </c>
    </row>
    <row r="359" spans="1:8" x14ac:dyDescent="0.3">
      <c r="A359" s="8">
        <v>340</v>
      </c>
      <c r="B359" s="9">
        <f t="shared" si="30"/>
        <v>-1627203364.8275964</v>
      </c>
      <c r="C359" s="9">
        <f t="shared" si="31"/>
        <v>37931034.482758626</v>
      </c>
      <c r="D359" s="9">
        <f t="shared" si="32"/>
        <v>-1665134399.3103549</v>
      </c>
      <c r="E359" s="9">
        <f t="shared" si="35"/>
        <v>-12858180689.655251</v>
      </c>
      <c r="F359" s="9" t="str">
        <f t="shared" ca="1" si="33"/>
        <v/>
      </c>
      <c r="G359" s="9"/>
      <c r="H359" s="10">
        <f t="shared" si="34"/>
        <v>29224.13793103466</v>
      </c>
    </row>
    <row r="360" spans="1:8" x14ac:dyDescent="0.3">
      <c r="A360" s="5">
        <v>341</v>
      </c>
      <c r="B360" s="6">
        <f t="shared" si="30"/>
        <v>-1632115433.7931137</v>
      </c>
      <c r="C360" s="6">
        <f t="shared" si="31"/>
        <v>37931034.482758626</v>
      </c>
      <c r="D360" s="6">
        <f t="shared" si="32"/>
        <v>-1670046468.2758722</v>
      </c>
      <c r="E360" s="6">
        <f t="shared" si="35"/>
        <v>-12896111724.13801</v>
      </c>
      <c r="F360" s="6" t="str">
        <f t="shared" ca="1" si="33"/>
        <v/>
      </c>
      <c r="G360" s="6"/>
      <c r="H360" s="7">
        <f t="shared" si="34"/>
        <v>29310.344827586385</v>
      </c>
    </row>
    <row r="361" spans="1:8" x14ac:dyDescent="0.3">
      <c r="A361" s="8">
        <v>342</v>
      </c>
      <c r="B361" s="9">
        <f t="shared" si="30"/>
        <v>-1637027502.7586312</v>
      </c>
      <c r="C361" s="9">
        <f t="shared" si="31"/>
        <v>37931034.482758626</v>
      </c>
      <c r="D361" s="9">
        <f t="shared" si="32"/>
        <v>-1674958537.2413898</v>
      </c>
      <c r="E361" s="9">
        <f t="shared" si="35"/>
        <v>-12934042758.62077</v>
      </c>
      <c r="F361" s="9" t="str">
        <f t="shared" ca="1" si="33"/>
        <v/>
      </c>
      <c r="G361" s="9"/>
      <c r="H361" s="10">
        <f t="shared" si="34"/>
        <v>29396.551724138113</v>
      </c>
    </row>
    <row r="362" spans="1:8" x14ac:dyDescent="0.3">
      <c r="A362" s="5">
        <v>343</v>
      </c>
      <c r="B362" s="6">
        <f t="shared" si="30"/>
        <v>-1641939571.7241485</v>
      </c>
      <c r="C362" s="6">
        <f t="shared" si="31"/>
        <v>37931034.482758626</v>
      </c>
      <c r="D362" s="6">
        <f t="shared" si="32"/>
        <v>-1679870606.206907</v>
      </c>
      <c r="E362" s="6">
        <f t="shared" si="35"/>
        <v>-12971973793.103529</v>
      </c>
      <c r="F362" s="6" t="str">
        <f t="shared" ca="1" si="33"/>
        <v/>
      </c>
      <c r="G362" s="6"/>
      <c r="H362" s="7">
        <f t="shared" si="34"/>
        <v>29482.758620689838</v>
      </c>
    </row>
    <row r="363" spans="1:8" x14ac:dyDescent="0.3">
      <c r="A363" s="8">
        <v>344</v>
      </c>
      <c r="B363" s="9">
        <f t="shared" si="30"/>
        <v>-1646851640.6896658</v>
      </c>
      <c r="C363" s="9">
        <f t="shared" si="31"/>
        <v>37931034.482758626</v>
      </c>
      <c r="D363" s="9">
        <f t="shared" si="32"/>
        <v>-1684782675.1724243</v>
      </c>
      <c r="E363" s="9">
        <f t="shared" si="35"/>
        <v>-13009904827.586288</v>
      </c>
      <c r="F363" s="9" t="str">
        <f t="shared" ca="1" si="33"/>
        <v/>
      </c>
      <c r="G363" s="9"/>
      <c r="H363" s="10">
        <f t="shared" si="34"/>
        <v>29568.965517241566</v>
      </c>
    </row>
    <row r="364" spans="1:8" x14ac:dyDescent="0.3">
      <c r="A364" s="5">
        <v>345</v>
      </c>
      <c r="B364" s="6">
        <f t="shared" si="30"/>
        <v>-1651763709.6551833</v>
      </c>
      <c r="C364" s="6">
        <f t="shared" si="31"/>
        <v>37931034.482758626</v>
      </c>
      <c r="D364" s="6">
        <f t="shared" si="32"/>
        <v>-1689694744.1379418</v>
      </c>
      <c r="E364" s="6">
        <f t="shared" si="35"/>
        <v>-13047835862.069048</v>
      </c>
      <c r="F364" s="6" t="str">
        <f t="shared" ca="1" si="33"/>
        <v/>
      </c>
      <c r="G364" s="6"/>
      <c r="H364" s="7">
        <f t="shared" si="34"/>
        <v>29655.172413793291</v>
      </c>
    </row>
    <row r="365" spans="1:8" x14ac:dyDescent="0.3">
      <c r="A365" s="8">
        <v>346</v>
      </c>
      <c r="B365" s="9">
        <f t="shared" si="30"/>
        <v>-1656675778.6207006</v>
      </c>
      <c r="C365" s="9">
        <f t="shared" si="31"/>
        <v>37931034.482758626</v>
      </c>
      <c r="D365" s="9">
        <f t="shared" si="32"/>
        <v>-1694606813.1034591</v>
      </c>
      <c r="E365" s="9">
        <f t="shared" si="35"/>
        <v>-13085766896.551807</v>
      </c>
      <c r="F365" s="9" t="str">
        <f t="shared" ca="1" si="33"/>
        <v/>
      </c>
      <c r="G365" s="9"/>
      <c r="H365" s="10">
        <f t="shared" si="34"/>
        <v>29741.379310345015</v>
      </c>
    </row>
    <row r="366" spans="1:8" x14ac:dyDescent="0.3">
      <c r="A366" s="5">
        <v>347</v>
      </c>
      <c r="B366" s="6">
        <f t="shared" si="30"/>
        <v>-1661587847.5862179</v>
      </c>
      <c r="C366" s="6">
        <f t="shared" si="31"/>
        <v>37931034.482758626</v>
      </c>
      <c r="D366" s="6">
        <f t="shared" si="32"/>
        <v>-1699518882.0689764</v>
      </c>
      <c r="E366" s="6">
        <f t="shared" si="35"/>
        <v>-13123697931.034567</v>
      </c>
      <c r="F366" s="6" t="str">
        <f t="shared" ca="1" si="33"/>
        <v/>
      </c>
      <c r="G366" s="6"/>
      <c r="H366" s="7">
        <f t="shared" si="34"/>
        <v>29827.586206896744</v>
      </c>
    </row>
    <row r="367" spans="1:8" x14ac:dyDescent="0.3">
      <c r="A367" s="8">
        <v>348</v>
      </c>
      <c r="B367" s="9">
        <f t="shared" si="30"/>
        <v>-1666499916.5517354</v>
      </c>
      <c r="C367" s="9">
        <f t="shared" si="31"/>
        <v>37931034.482758626</v>
      </c>
      <c r="D367" s="9">
        <f t="shared" si="32"/>
        <v>-1704430951.0344939</v>
      </c>
      <c r="E367" s="9">
        <f t="shared" si="35"/>
        <v>-13161628965.517326</v>
      </c>
      <c r="F367" s="9" t="str">
        <f t="shared" ca="1" si="33"/>
        <v/>
      </c>
      <c r="G367" s="9"/>
      <c r="H367" s="10">
        <f t="shared" si="34"/>
        <v>29913.793103448468</v>
      </c>
    </row>
    <row r="368" spans="1:8" x14ac:dyDescent="0.3">
      <c r="A368" s="5">
        <v>349</v>
      </c>
      <c r="B368" s="6">
        <f t="shared" si="30"/>
        <v>-1671411985.5172527</v>
      </c>
      <c r="C368" s="6">
        <f t="shared" si="31"/>
        <v>37931034.482758626</v>
      </c>
      <c r="D368" s="6">
        <f t="shared" si="32"/>
        <v>-1709343020.0000112</v>
      </c>
      <c r="E368" s="6">
        <f t="shared" si="35"/>
        <v>-13199560000.000086</v>
      </c>
      <c r="F368" s="6" t="str">
        <f t="shared" ca="1" si="33"/>
        <v/>
      </c>
      <c r="G368" s="6"/>
      <c r="H368" s="7">
        <f t="shared" si="34"/>
        <v>30000.000000000196</v>
      </c>
    </row>
    <row r="369" spans="1:8" x14ac:dyDescent="0.3">
      <c r="A369" s="8">
        <v>350</v>
      </c>
      <c r="B369" s="9">
        <f t="shared" si="30"/>
        <v>-1676324054.48277</v>
      </c>
      <c r="C369" s="9">
        <f t="shared" si="31"/>
        <v>37931034.482758626</v>
      </c>
      <c r="D369" s="9">
        <f t="shared" si="32"/>
        <v>-1714255088.9655285</v>
      </c>
      <c r="E369" s="9">
        <f t="shared" si="35"/>
        <v>-13237491034.482845</v>
      </c>
      <c r="F369" s="9" t="str">
        <f t="shared" ca="1" si="33"/>
        <v/>
      </c>
      <c r="G369" s="9"/>
      <c r="H369" s="10">
        <f t="shared" si="34"/>
        <v>30086.206896551921</v>
      </c>
    </row>
    <row r="370" spans="1:8" x14ac:dyDescent="0.3">
      <c r="A370" s="5">
        <v>351</v>
      </c>
      <c r="B370" s="6">
        <f t="shared" si="30"/>
        <v>-1681236123.4482872</v>
      </c>
      <c r="C370" s="6">
        <f t="shared" si="31"/>
        <v>37931034.482758626</v>
      </c>
      <c r="D370" s="6">
        <f t="shared" si="32"/>
        <v>-1719167157.9310458</v>
      </c>
      <c r="E370" s="6">
        <f t="shared" si="35"/>
        <v>-13275422068.965605</v>
      </c>
      <c r="F370" s="6" t="str">
        <f t="shared" ca="1" si="33"/>
        <v/>
      </c>
      <c r="G370" s="6"/>
      <c r="H370" s="7">
        <f t="shared" si="34"/>
        <v>30172.413793103646</v>
      </c>
    </row>
    <row r="371" spans="1:8" x14ac:dyDescent="0.3">
      <c r="A371" s="8">
        <v>352</v>
      </c>
      <c r="B371" s="9">
        <f t="shared" si="30"/>
        <v>-1686148192.4138048</v>
      </c>
      <c r="C371" s="9">
        <f t="shared" si="31"/>
        <v>37931034.482758626</v>
      </c>
      <c r="D371" s="9">
        <f t="shared" si="32"/>
        <v>-1724079226.8965633</v>
      </c>
      <c r="E371" s="9">
        <f t="shared" si="35"/>
        <v>-13313353103.448364</v>
      </c>
      <c r="F371" s="9" t="str">
        <f t="shared" ca="1" si="33"/>
        <v/>
      </c>
      <c r="G371" s="9"/>
      <c r="H371" s="10">
        <f t="shared" si="34"/>
        <v>30258.620689655374</v>
      </c>
    </row>
    <row r="372" spans="1:8" x14ac:dyDescent="0.3">
      <c r="A372" s="5">
        <v>353</v>
      </c>
      <c r="B372" s="6">
        <f t="shared" si="30"/>
        <v>-1691060261.3793221</v>
      </c>
      <c r="C372" s="6">
        <f t="shared" si="31"/>
        <v>37931034.482758626</v>
      </c>
      <c r="D372" s="6">
        <f t="shared" si="32"/>
        <v>-1728991295.8620806</v>
      </c>
      <c r="E372" s="6">
        <f t="shared" si="35"/>
        <v>-13351284137.931124</v>
      </c>
      <c r="F372" s="6" t="str">
        <f t="shared" ca="1" si="33"/>
        <v/>
      </c>
      <c r="G372" s="6"/>
      <c r="H372" s="7">
        <f t="shared" si="34"/>
        <v>30344.827586207099</v>
      </c>
    </row>
    <row r="373" spans="1:8" x14ac:dyDescent="0.3">
      <c r="A373" s="8">
        <v>354</v>
      </c>
      <c r="B373" s="9">
        <f t="shared" si="30"/>
        <v>-1695972330.3448393</v>
      </c>
      <c r="C373" s="9">
        <f t="shared" si="31"/>
        <v>37931034.482758626</v>
      </c>
      <c r="D373" s="9">
        <f t="shared" si="32"/>
        <v>-1733903364.8275979</v>
      </c>
      <c r="E373" s="9">
        <f t="shared" si="35"/>
        <v>-13389215172.413883</v>
      </c>
      <c r="F373" s="9" t="str">
        <f t="shared" ca="1" si="33"/>
        <v/>
      </c>
      <c r="G373" s="9"/>
      <c r="H373" s="10">
        <f t="shared" si="34"/>
        <v>30431.034482758827</v>
      </c>
    </row>
    <row r="374" spans="1:8" x14ac:dyDescent="0.3">
      <c r="A374" s="5">
        <v>355</v>
      </c>
      <c r="B374" s="6">
        <f t="shared" si="30"/>
        <v>-1700884399.3103569</v>
      </c>
      <c r="C374" s="6">
        <f t="shared" si="31"/>
        <v>37931034.482758626</v>
      </c>
      <c r="D374" s="6">
        <f t="shared" si="32"/>
        <v>-1738815433.7931154</v>
      </c>
      <c r="E374" s="6">
        <f t="shared" si="35"/>
        <v>-13427146206.896643</v>
      </c>
      <c r="F374" s="6" t="str">
        <f t="shared" ca="1" si="33"/>
        <v/>
      </c>
      <c r="G374" s="6"/>
      <c r="H374" s="7">
        <f t="shared" si="34"/>
        <v>30517.241379310552</v>
      </c>
    </row>
    <row r="375" spans="1:8" x14ac:dyDescent="0.3">
      <c r="A375" s="8">
        <v>356</v>
      </c>
      <c r="B375" s="9">
        <f t="shared" si="30"/>
        <v>-1705796468.2758741</v>
      </c>
      <c r="C375" s="9">
        <f t="shared" si="31"/>
        <v>37931034.482758626</v>
      </c>
      <c r="D375" s="9">
        <f t="shared" si="32"/>
        <v>-1743727502.7586327</v>
      </c>
      <c r="E375" s="9">
        <f t="shared" si="35"/>
        <v>-13465077241.379402</v>
      </c>
      <c r="F375" s="9" t="str">
        <f t="shared" ca="1" si="33"/>
        <v/>
      </c>
      <c r="G375" s="9"/>
      <c r="H375" s="10">
        <f t="shared" si="34"/>
        <v>30603.448275862276</v>
      </c>
    </row>
    <row r="376" spans="1:8" x14ac:dyDescent="0.3">
      <c r="A376" s="5">
        <v>357</v>
      </c>
      <c r="B376" s="6">
        <f t="shared" si="30"/>
        <v>-1710708537.2413914</v>
      </c>
      <c r="C376" s="6">
        <f t="shared" si="31"/>
        <v>37931034.482758626</v>
      </c>
      <c r="D376" s="6">
        <f t="shared" si="32"/>
        <v>-1748639571.7241499</v>
      </c>
      <c r="E376" s="6">
        <f t="shared" si="35"/>
        <v>-13503008275.862162</v>
      </c>
      <c r="F376" s="6" t="str">
        <f t="shared" ca="1" si="33"/>
        <v/>
      </c>
      <c r="G376" s="6"/>
      <c r="H376" s="7">
        <f t="shared" si="34"/>
        <v>30689.655172414004</v>
      </c>
    </row>
    <row r="377" spans="1:8" x14ac:dyDescent="0.3">
      <c r="A377" s="8">
        <v>358</v>
      </c>
      <c r="B377" s="9">
        <f t="shared" si="30"/>
        <v>-1715620606.2069087</v>
      </c>
      <c r="C377" s="9">
        <f t="shared" si="31"/>
        <v>37931034.482758626</v>
      </c>
      <c r="D377" s="9">
        <f t="shared" si="32"/>
        <v>-1753551640.6896672</v>
      </c>
      <c r="E377" s="9">
        <f t="shared" si="35"/>
        <v>-13540939310.344921</v>
      </c>
      <c r="F377" s="9" t="str">
        <f t="shared" ca="1" si="33"/>
        <v/>
      </c>
      <c r="G377" s="9"/>
      <c r="H377" s="10">
        <f t="shared" si="34"/>
        <v>30775.862068965729</v>
      </c>
    </row>
    <row r="378" spans="1:8" x14ac:dyDescent="0.3">
      <c r="A378" s="5">
        <v>359</v>
      </c>
      <c r="B378" s="6">
        <f t="shared" si="30"/>
        <v>-1720532675.1724262</v>
      </c>
      <c r="C378" s="6">
        <f t="shared" si="31"/>
        <v>37931034.482758626</v>
      </c>
      <c r="D378" s="6">
        <f t="shared" si="32"/>
        <v>-1758463709.6551847</v>
      </c>
      <c r="E378" s="6">
        <f t="shared" si="35"/>
        <v>-13578870344.827681</v>
      </c>
      <c r="F378" s="6" t="str">
        <f t="shared" ca="1" si="33"/>
        <v/>
      </c>
      <c r="G378" s="6"/>
      <c r="H378" s="7">
        <f t="shared" si="34"/>
        <v>30862.068965517457</v>
      </c>
    </row>
    <row r="379" spans="1:8" x14ac:dyDescent="0.3">
      <c r="A379" s="8">
        <v>360</v>
      </c>
      <c r="B379" s="9">
        <f t="shared" si="30"/>
        <v>-1725444744.1379435</v>
      </c>
      <c r="C379" s="9">
        <f t="shared" si="31"/>
        <v>37931034.482758626</v>
      </c>
      <c r="D379" s="9">
        <f t="shared" si="32"/>
        <v>-1763375778.620702</v>
      </c>
      <c r="E379" s="9">
        <f t="shared" si="35"/>
        <v>-13616801379.31044</v>
      </c>
      <c r="F379" s="9" t="str">
        <f t="shared" ca="1" si="33"/>
        <v/>
      </c>
      <c r="G379" s="9"/>
      <c r="H379" s="10">
        <f t="shared" si="34"/>
        <v>30948.275862069182</v>
      </c>
    </row>
  </sheetData>
  <mergeCells count="4">
    <mergeCell ref="A18:H18"/>
    <mergeCell ref="A4:D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6"/>
  <sheetViews>
    <sheetView workbookViewId="0">
      <selection activeCell="B4" sqref="B4"/>
    </sheetView>
  </sheetViews>
  <sheetFormatPr defaultRowHeight="14.4" x14ac:dyDescent="0.3"/>
  <cols>
    <col min="1" max="1" width="35" customWidth="1"/>
    <col min="2" max="6" width="18" customWidth="1"/>
  </cols>
  <sheetData>
    <row r="1" spans="1:6" ht="30" customHeight="1" x14ac:dyDescent="0.35">
      <c r="A1" s="26" t="s">
        <v>23</v>
      </c>
      <c r="B1" s="27"/>
      <c r="C1" s="27"/>
      <c r="D1" s="27"/>
      <c r="E1" s="27"/>
      <c r="F1" s="27"/>
    </row>
    <row r="3" spans="1:6" x14ac:dyDescent="0.3">
      <c r="A3" t="s">
        <v>24</v>
      </c>
      <c r="B3" s="11">
        <f>'Simulador SAC'!B5</f>
        <v>550000</v>
      </c>
    </row>
    <row r="4" spans="1:6" x14ac:dyDescent="0.3">
      <c r="A4" t="s">
        <v>25</v>
      </c>
      <c r="B4" s="12">
        <v>0.1119</v>
      </c>
    </row>
    <row r="5" spans="1:6" x14ac:dyDescent="0.3">
      <c r="A5" t="s">
        <v>26</v>
      </c>
      <c r="B5" s="11">
        <v>360</v>
      </c>
    </row>
    <row r="6" spans="1:6" x14ac:dyDescent="0.3">
      <c r="A6" s="13" t="s">
        <v>15</v>
      </c>
      <c r="B6" s="13" t="s">
        <v>27</v>
      </c>
      <c r="C6" s="13" t="s">
        <v>28</v>
      </c>
      <c r="D6" s="13" t="s">
        <v>29</v>
      </c>
      <c r="E6" s="13" t="s">
        <v>30</v>
      </c>
      <c r="F6" s="13" t="s">
        <v>31</v>
      </c>
    </row>
    <row r="7" spans="1:6" x14ac:dyDescent="0.3">
      <c r="A7" s="5">
        <v>1</v>
      </c>
      <c r="B7" s="6">
        <v>4662.46</v>
      </c>
      <c r="C7" s="6">
        <v>3705.1</v>
      </c>
      <c r="D7" s="6">
        <v>3551.35</v>
      </c>
      <c r="E7" s="6">
        <v>3551.35</v>
      </c>
      <c r="F7" s="6">
        <v>957.36</v>
      </c>
    </row>
    <row r="8" spans="1:6" x14ac:dyDescent="0.3">
      <c r="A8" s="8">
        <v>2</v>
      </c>
      <c r="B8" s="9">
        <v>4652.59</v>
      </c>
      <c r="C8" s="9">
        <v>3705.1</v>
      </c>
      <c r="D8" s="9">
        <v>3541.48</v>
      </c>
      <c r="E8" s="9">
        <v>3549.98</v>
      </c>
      <c r="F8" s="9">
        <v>947.49</v>
      </c>
    </row>
    <row r="9" spans="1:6" x14ac:dyDescent="0.3">
      <c r="A9" s="5">
        <v>3</v>
      </c>
      <c r="B9" s="6">
        <v>4642.7299999999996</v>
      </c>
      <c r="C9" s="6">
        <v>3705.1</v>
      </c>
      <c r="D9" s="6">
        <v>3531.62</v>
      </c>
      <c r="E9" s="6">
        <v>3548.61</v>
      </c>
      <c r="F9" s="6">
        <v>937.63</v>
      </c>
    </row>
    <row r="10" spans="1:6" x14ac:dyDescent="0.3">
      <c r="A10" s="8">
        <v>4</v>
      </c>
      <c r="B10" s="9">
        <v>4632.8599999999997</v>
      </c>
      <c r="C10" s="9">
        <v>3705.1</v>
      </c>
      <c r="D10" s="9">
        <v>3521.75</v>
      </c>
      <c r="E10" s="9">
        <v>3547.22</v>
      </c>
      <c r="F10" s="9">
        <v>927.76</v>
      </c>
    </row>
    <row r="11" spans="1:6" x14ac:dyDescent="0.3">
      <c r="A11" s="5">
        <v>5</v>
      </c>
      <c r="B11" s="6">
        <v>4623</v>
      </c>
      <c r="C11" s="6">
        <v>3705.1</v>
      </c>
      <c r="D11" s="6">
        <v>3511.89</v>
      </c>
      <c r="E11" s="6">
        <v>3545.81</v>
      </c>
      <c r="F11" s="6">
        <v>917.9</v>
      </c>
    </row>
    <row r="12" spans="1:6" x14ac:dyDescent="0.3">
      <c r="A12" s="8">
        <v>6</v>
      </c>
      <c r="B12" s="9">
        <v>4613.13</v>
      </c>
      <c r="C12" s="9">
        <v>3705.1</v>
      </c>
      <c r="D12" s="9">
        <v>3502.02</v>
      </c>
      <c r="E12" s="9">
        <v>3544.4</v>
      </c>
      <c r="F12" s="9">
        <v>908.03</v>
      </c>
    </row>
    <row r="13" spans="1:6" x14ac:dyDescent="0.3">
      <c r="A13" s="5">
        <v>7</v>
      </c>
      <c r="B13" s="6">
        <v>4603.2700000000004</v>
      </c>
      <c r="C13" s="6">
        <v>3705.1</v>
      </c>
      <c r="D13" s="6">
        <v>3492.16</v>
      </c>
      <c r="E13" s="6">
        <v>3542.97</v>
      </c>
      <c r="F13" s="6">
        <v>898.17</v>
      </c>
    </row>
    <row r="14" spans="1:6" x14ac:dyDescent="0.3">
      <c r="A14" s="8">
        <v>8</v>
      </c>
      <c r="B14" s="9">
        <v>4593.3999999999996</v>
      </c>
      <c r="C14" s="9">
        <v>3705.1</v>
      </c>
      <c r="D14" s="9">
        <v>3482.29</v>
      </c>
      <c r="E14" s="9">
        <v>3541.53</v>
      </c>
      <c r="F14" s="9">
        <v>888.3</v>
      </c>
    </row>
    <row r="15" spans="1:6" x14ac:dyDescent="0.3">
      <c r="A15" s="5">
        <v>9</v>
      </c>
      <c r="B15" s="6">
        <v>4583.54</v>
      </c>
      <c r="C15" s="6">
        <v>3705.1</v>
      </c>
      <c r="D15" s="6">
        <v>3472.43</v>
      </c>
      <c r="E15" s="6">
        <v>3540.08</v>
      </c>
      <c r="F15" s="6">
        <v>878.44</v>
      </c>
    </row>
    <row r="16" spans="1:6" x14ac:dyDescent="0.3">
      <c r="A16" s="8">
        <v>10</v>
      </c>
      <c r="B16" s="9">
        <v>4573.68</v>
      </c>
      <c r="C16" s="9">
        <v>3705.1</v>
      </c>
      <c r="D16" s="9">
        <v>3462.56</v>
      </c>
      <c r="E16" s="9">
        <v>3538.62</v>
      </c>
      <c r="F16" s="9">
        <v>868.57</v>
      </c>
    </row>
    <row r="17" spans="1:6" x14ac:dyDescent="0.3">
      <c r="A17" s="5">
        <v>11</v>
      </c>
      <c r="B17" s="6">
        <v>4563.8100000000004</v>
      </c>
      <c r="C17" s="6">
        <v>3705.1</v>
      </c>
      <c r="D17" s="6">
        <v>3452.7</v>
      </c>
      <c r="E17" s="6">
        <v>3537.14</v>
      </c>
      <c r="F17" s="6">
        <v>858.71</v>
      </c>
    </row>
    <row r="18" spans="1:6" x14ac:dyDescent="0.3">
      <c r="A18" s="8">
        <v>12</v>
      </c>
      <c r="B18" s="9">
        <v>4553.95</v>
      </c>
      <c r="C18" s="9">
        <v>3705.1</v>
      </c>
      <c r="D18" s="9">
        <v>3442.83</v>
      </c>
      <c r="E18" s="9">
        <v>3535.65</v>
      </c>
      <c r="F18" s="9">
        <v>848.84</v>
      </c>
    </row>
    <row r="19" spans="1:6" x14ac:dyDescent="0.3">
      <c r="A19" s="5">
        <v>13</v>
      </c>
      <c r="B19" s="6">
        <v>4544.08</v>
      </c>
      <c r="C19" s="6">
        <v>3705.1</v>
      </c>
      <c r="D19" s="6">
        <v>3432.97</v>
      </c>
      <c r="E19" s="6">
        <v>3534.14</v>
      </c>
      <c r="F19" s="6">
        <v>838.98</v>
      </c>
    </row>
    <row r="20" spans="1:6" x14ac:dyDescent="0.3">
      <c r="A20" s="8">
        <v>14</v>
      </c>
      <c r="B20" s="9">
        <v>4534.22</v>
      </c>
      <c r="C20" s="9">
        <v>3705.1</v>
      </c>
      <c r="D20" s="9">
        <v>3423.1</v>
      </c>
      <c r="E20" s="9">
        <v>3532.62</v>
      </c>
      <c r="F20" s="9">
        <v>829.11</v>
      </c>
    </row>
    <row r="21" spans="1:6" x14ac:dyDescent="0.3">
      <c r="A21" s="5">
        <v>15</v>
      </c>
      <c r="B21" s="6">
        <v>4524.3500000000004</v>
      </c>
      <c r="C21" s="6">
        <v>3705.1</v>
      </c>
      <c r="D21" s="6">
        <v>3413.24</v>
      </c>
      <c r="E21" s="6">
        <v>3531.09</v>
      </c>
      <c r="F21" s="6">
        <v>819.25</v>
      </c>
    </row>
    <row r="22" spans="1:6" x14ac:dyDescent="0.3">
      <c r="A22" s="8">
        <v>16</v>
      </c>
      <c r="B22" s="9">
        <v>4514.49</v>
      </c>
      <c r="C22" s="9">
        <v>3705.1</v>
      </c>
      <c r="D22" s="9">
        <v>3403.38</v>
      </c>
      <c r="E22" s="9">
        <v>3529.55</v>
      </c>
      <c r="F22" s="9">
        <v>809.38</v>
      </c>
    </row>
    <row r="23" spans="1:6" x14ac:dyDescent="0.3">
      <c r="A23" s="5">
        <v>17</v>
      </c>
      <c r="B23" s="6">
        <v>4504.62</v>
      </c>
      <c r="C23" s="6">
        <v>3705.1</v>
      </c>
      <c r="D23" s="6">
        <v>3393.51</v>
      </c>
      <c r="E23" s="6">
        <v>3527.99</v>
      </c>
      <c r="F23" s="6">
        <v>799.52</v>
      </c>
    </row>
    <row r="24" spans="1:6" x14ac:dyDescent="0.3">
      <c r="A24" s="8">
        <v>18</v>
      </c>
      <c r="B24" s="9">
        <v>4494.76</v>
      </c>
      <c r="C24" s="9">
        <v>3705.1</v>
      </c>
      <c r="D24" s="9">
        <v>3383.65</v>
      </c>
      <c r="E24" s="9">
        <v>3526.42</v>
      </c>
      <c r="F24" s="9">
        <v>789.65</v>
      </c>
    </row>
    <row r="25" spans="1:6" x14ac:dyDescent="0.3">
      <c r="A25" s="5">
        <v>19</v>
      </c>
      <c r="B25" s="6">
        <v>4484.8900000000003</v>
      </c>
      <c r="C25" s="6">
        <v>3705.1</v>
      </c>
      <c r="D25" s="6">
        <v>3373.78</v>
      </c>
      <c r="E25" s="6">
        <v>3524.83</v>
      </c>
      <c r="F25" s="6">
        <v>779.79</v>
      </c>
    </row>
    <row r="26" spans="1:6" x14ac:dyDescent="0.3">
      <c r="A26" s="8">
        <v>20</v>
      </c>
      <c r="B26" s="9">
        <v>4475.03</v>
      </c>
      <c r="C26" s="9">
        <v>3705.1</v>
      </c>
      <c r="D26" s="9">
        <v>3363.92</v>
      </c>
      <c r="E26" s="9">
        <v>3523.23</v>
      </c>
      <c r="F26" s="9">
        <v>769.92</v>
      </c>
    </row>
    <row r="27" spans="1:6" x14ac:dyDescent="0.3">
      <c r="A27" s="5">
        <v>21</v>
      </c>
      <c r="B27" s="6">
        <v>4465.16</v>
      </c>
      <c r="C27" s="6">
        <v>3705.1</v>
      </c>
      <c r="D27" s="6">
        <v>3354.05</v>
      </c>
      <c r="E27" s="6">
        <v>3521.62</v>
      </c>
      <c r="F27" s="6">
        <v>760.06</v>
      </c>
    </row>
    <row r="28" spans="1:6" x14ac:dyDescent="0.3">
      <c r="A28" s="8">
        <v>22</v>
      </c>
      <c r="B28" s="9">
        <v>4455.3</v>
      </c>
      <c r="C28" s="9">
        <v>3705.1</v>
      </c>
      <c r="D28" s="9">
        <v>3344.19</v>
      </c>
      <c r="E28" s="9">
        <v>3519.99</v>
      </c>
      <c r="F28" s="9">
        <v>750.19</v>
      </c>
    </row>
    <row r="29" spans="1:6" x14ac:dyDescent="0.3">
      <c r="A29" s="5">
        <v>23</v>
      </c>
      <c r="B29" s="6">
        <v>4445.43</v>
      </c>
      <c r="C29" s="6">
        <v>3705.1</v>
      </c>
      <c r="D29" s="6">
        <v>3334.32</v>
      </c>
      <c r="E29" s="6">
        <v>3518.34</v>
      </c>
      <c r="F29" s="6">
        <v>740.33</v>
      </c>
    </row>
    <row r="30" spans="1:6" x14ac:dyDescent="0.3">
      <c r="A30" s="8">
        <v>24</v>
      </c>
      <c r="B30" s="9">
        <v>4435.57</v>
      </c>
      <c r="C30" s="9">
        <v>3705.1</v>
      </c>
      <c r="D30" s="9">
        <v>3324.46</v>
      </c>
      <c r="E30" s="9">
        <v>3516.69</v>
      </c>
      <c r="F30" s="9">
        <v>730.46</v>
      </c>
    </row>
    <row r="31" spans="1:6" x14ac:dyDescent="0.3">
      <c r="A31" s="5">
        <v>25</v>
      </c>
      <c r="B31" s="6">
        <v>4425.7</v>
      </c>
      <c r="C31" s="6">
        <v>3705.1</v>
      </c>
      <c r="D31" s="6">
        <v>3314.59</v>
      </c>
      <c r="E31" s="6">
        <v>3515.01</v>
      </c>
      <c r="F31" s="6">
        <v>720.6</v>
      </c>
    </row>
    <row r="32" spans="1:6" x14ac:dyDescent="0.3">
      <c r="A32" s="8">
        <v>26</v>
      </c>
      <c r="B32" s="9">
        <v>4415.84</v>
      </c>
      <c r="C32" s="9">
        <v>3705.1</v>
      </c>
      <c r="D32" s="9">
        <v>3304.73</v>
      </c>
      <c r="E32" s="9">
        <v>3513.32</v>
      </c>
      <c r="F32" s="9">
        <v>710.74</v>
      </c>
    </row>
    <row r="33" spans="1:6" x14ac:dyDescent="0.3">
      <c r="A33" s="5">
        <v>27</v>
      </c>
      <c r="B33" s="6">
        <v>4405.97</v>
      </c>
      <c r="C33" s="6">
        <v>3705.1</v>
      </c>
      <c r="D33" s="6">
        <v>3294.86</v>
      </c>
      <c r="E33" s="6">
        <v>3511.62</v>
      </c>
      <c r="F33" s="6">
        <v>700.87</v>
      </c>
    </row>
    <row r="34" spans="1:6" x14ac:dyDescent="0.3">
      <c r="A34" s="8">
        <v>28</v>
      </c>
      <c r="B34" s="9">
        <v>4396.1099999999997</v>
      </c>
      <c r="C34" s="9">
        <v>3705.1</v>
      </c>
      <c r="D34" s="9">
        <v>3285</v>
      </c>
      <c r="E34" s="9">
        <v>3509.9</v>
      </c>
      <c r="F34" s="9">
        <v>691.01</v>
      </c>
    </row>
    <row r="35" spans="1:6" x14ac:dyDescent="0.3">
      <c r="A35" s="5">
        <v>29</v>
      </c>
      <c r="B35" s="6">
        <v>4386.24</v>
      </c>
      <c r="C35" s="6">
        <v>3705.1</v>
      </c>
      <c r="D35" s="6">
        <v>3275.13</v>
      </c>
      <c r="E35" s="6">
        <v>3508.17</v>
      </c>
      <c r="F35" s="6">
        <v>681.14</v>
      </c>
    </row>
    <row r="36" spans="1:6" x14ac:dyDescent="0.3">
      <c r="A36" s="8">
        <v>30</v>
      </c>
      <c r="B36" s="9">
        <v>4376.38</v>
      </c>
      <c r="C36" s="9">
        <v>3705.1</v>
      </c>
      <c r="D36" s="9">
        <v>3265.27</v>
      </c>
      <c r="E36" s="9">
        <v>3506.42</v>
      </c>
      <c r="F36" s="9">
        <v>671.28</v>
      </c>
    </row>
    <row r="37" spans="1:6" x14ac:dyDescent="0.3">
      <c r="A37" s="5">
        <v>31</v>
      </c>
      <c r="B37" s="6">
        <v>4366.51</v>
      </c>
      <c r="C37" s="6">
        <v>3705.1</v>
      </c>
      <c r="D37" s="6">
        <v>3255.4</v>
      </c>
      <c r="E37" s="6">
        <v>3504.66</v>
      </c>
      <c r="F37" s="6">
        <v>661.41</v>
      </c>
    </row>
    <row r="38" spans="1:6" x14ac:dyDescent="0.3">
      <c r="A38" s="8">
        <v>32</v>
      </c>
      <c r="B38" s="9">
        <v>4356.6499999999996</v>
      </c>
      <c r="C38" s="9">
        <v>3705.1</v>
      </c>
      <c r="D38" s="9">
        <v>3245.54</v>
      </c>
      <c r="E38" s="9">
        <v>3502.88</v>
      </c>
      <c r="F38" s="9">
        <v>651.54999999999995</v>
      </c>
    </row>
    <row r="39" spans="1:6" x14ac:dyDescent="0.3">
      <c r="A39" s="5">
        <v>33</v>
      </c>
      <c r="B39" s="6">
        <v>4346.78</v>
      </c>
      <c r="C39" s="6">
        <v>3705.1</v>
      </c>
      <c r="D39" s="6">
        <v>3235.67</v>
      </c>
      <c r="E39" s="6">
        <v>3501.08</v>
      </c>
      <c r="F39" s="6">
        <v>641.67999999999995</v>
      </c>
    </row>
    <row r="40" spans="1:6" x14ac:dyDescent="0.3">
      <c r="A40" s="8">
        <v>34</v>
      </c>
      <c r="B40" s="9">
        <v>4336.92</v>
      </c>
      <c r="C40" s="9">
        <v>3705.1</v>
      </c>
      <c r="D40" s="9">
        <v>3225.81</v>
      </c>
      <c r="E40" s="9">
        <v>3499.27</v>
      </c>
      <c r="F40" s="9">
        <v>631.82000000000005</v>
      </c>
    </row>
    <row r="41" spans="1:6" x14ac:dyDescent="0.3">
      <c r="A41" s="5">
        <v>35</v>
      </c>
      <c r="B41" s="6">
        <v>4327.05</v>
      </c>
      <c r="C41" s="6">
        <v>3705.1</v>
      </c>
      <c r="D41" s="6">
        <v>3215.94</v>
      </c>
      <c r="E41" s="6">
        <v>3497.44</v>
      </c>
      <c r="F41" s="6">
        <v>621.95000000000005</v>
      </c>
    </row>
    <row r="42" spans="1:6" x14ac:dyDescent="0.3">
      <c r="A42" s="8">
        <v>36</v>
      </c>
      <c r="B42" s="9">
        <v>4317.1899999999996</v>
      </c>
      <c r="C42" s="9">
        <v>3705.1</v>
      </c>
      <c r="D42" s="9">
        <v>3206.08</v>
      </c>
      <c r="E42" s="9">
        <v>3495.6</v>
      </c>
      <c r="F42" s="9">
        <v>612.09</v>
      </c>
    </row>
    <row r="43" spans="1:6" x14ac:dyDescent="0.3">
      <c r="A43" s="5">
        <v>37</v>
      </c>
      <c r="B43" s="6">
        <v>4307.32</v>
      </c>
      <c r="C43" s="6">
        <v>3705.1</v>
      </c>
      <c r="D43" s="6">
        <v>3196.21</v>
      </c>
      <c r="E43" s="6">
        <v>3493.74</v>
      </c>
      <c r="F43" s="6">
        <v>602.22</v>
      </c>
    </row>
    <row r="44" spans="1:6" x14ac:dyDescent="0.3">
      <c r="A44" s="8">
        <v>38</v>
      </c>
      <c r="B44" s="9">
        <v>4297.46</v>
      </c>
      <c r="C44" s="9">
        <v>3705.1</v>
      </c>
      <c r="D44" s="9">
        <v>3186.35</v>
      </c>
      <c r="E44" s="9">
        <v>3491.86</v>
      </c>
      <c r="F44" s="9">
        <v>592.36</v>
      </c>
    </row>
    <row r="45" spans="1:6" x14ac:dyDescent="0.3">
      <c r="A45" s="5">
        <v>39</v>
      </c>
      <c r="B45" s="6">
        <v>4287.59</v>
      </c>
      <c r="C45" s="6">
        <v>3705.1</v>
      </c>
      <c r="D45" s="6">
        <v>3176.48</v>
      </c>
      <c r="E45" s="6">
        <v>3489.97</v>
      </c>
      <c r="F45" s="6">
        <v>582.49</v>
      </c>
    </row>
    <row r="46" spans="1:6" x14ac:dyDescent="0.3">
      <c r="A46" s="8">
        <v>40</v>
      </c>
      <c r="B46" s="9">
        <v>4277.7299999999996</v>
      </c>
      <c r="C46" s="9">
        <v>3705.1</v>
      </c>
      <c r="D46" s="9">
        <v>3166.62</v>
      </c>
      <c r="E46" s="9">
        <v>3488.06</v>
      </c>
      <c r="F46" s="9">
        <v>572.63</v>
      </c>
    </row>
    <row r="47" spans="1:6" x14ac:dyDescent="0.3">
      <c r="A47" s="5">
        <v>41</v>
      </c>
      <c r="B47" s="6">
        <v>4267.8599999999997</v>
      </c>
      <c r="C47" s="6">
        <v>3705.1</v>
      </c>
      <c r="D47" s="6">
        <v>3156.75</v>
      </c>
      <c r="E47" s="6">
        <v>3486.13</v>
      </c>
      <c r="F47" s="6">
        <v>562.76</v>
      </c>
    </row>
    <row r="48" spans="1:6" x14ac:dyDescent="0.3">
      <c r="A48" s="8">
        <v>42</v>
      </c>
      <c r="B48" s="9">
        <v>4258</v>
      </c>
      <c r="C48" s="9">
        <v>3705.1</v>
      </c>
      <c r="D48" s="9">
        <v>3146.89</v>
      </c>
      <c r="E48" s="9">
        <v>3484.19</v>
      </c>
      <c r="F48" s="9">
        <v>552.9</v>
      </c>
    </row>
    <row r="49" spans="1:6" x14ac:dyDescent="0.3">
      <c r="A49" s="5">
        <v>43</v>
      </c>
      <c r="B49" s="6">
        <v>4248.1400000000003</v>
      </c>
      <c r="C49" s="6">
        <v>3705.1</v>
      </c>
      <c r="D49" s="6">
        <v>3137.02</v>
      </c>
      <c r="E49" s="6">
        <v>3482.23</v>
      </c>
      <c r="F49" s="6">
        <v>543.03</v>
      </c>
    </row>
    <row r="50" spans="1:6" x14ac:dyDescent="0.3">
      <c r="A50" s="8">
        <v>44</v>
      </c>
      <c r="B50" s="9">
        <v>4238.2700000000004</v>
      </c>
      <c r="C50" s="9">
        <v>3705.1</v>
      </c>
      <c r="D50" s="9">
        <v>3127.16</v>
      </c>
      <c r="E50" s="9">
        <v>3480.25</v>
      </c>
      <c r="F50" s="9">
        <v>533.16999999999996</v>
      </c>
    </row>
    <row r="51" spans="1:6" x14ac:dyDescent="0.3">
      <c r="A51" s="5">
        <v>45</v>
      </c>
      <c r="B51" s="6">
        <v>4228.41</v>
      </c>
      <c r="C51" s="6">
        <v>3705.1</v>
      </c>
      <c r="D51" s="6">
        <v>3117.29</v>
      </c>
      <c r="E51" s="6">
        <v>3478.25</v>
      </c>
      <c r="F51" s="6">
        <v>523.29999999999995</v>
      </c>
    </row>
    <row r="52" spans="1:6" x14ac:dyDescent="0.3">
      <c r="A52" s="8">
        <v>46</v>
      </c>
      <c r="B52" s="9">
        <v>4218.54</v>
      </c>
      <c r="C52" s="9">
        <v>3705.1</v>
      </c>
      <c r="D52" s="9">
        <v>3107.43</v>
      </c>
      <c r="E52" s="9">
        <v>3476.24</v>
      </c>
      <c r="F52" s="9">
        <v>513.44000000000005</v>
      </c>
    </row>
    <row r="53" spans="1:6" x14ac:dyDescent="0.3">
      <c r="A53" s="5">
        <v>47</v>
      </c>
      <c r="B53" s="6">
        <v>4208.68</v>
      </c>
      <c r="C53" s="6">
        <v>3705.1</v>
      </c>
      <c r="D53" s="6">
        <v>3097.56</v>
      </c>
      <c r="E53" s="6">
        <v>3474.21</v>
      </c>
      <c r="F53" s="6">
        <v>503.57</v>
      </c>
    </row>
    <row r="54" spans="1:6" x14ac:dyDescent="0.3">
      <c r="A54" s="8">
        <v>48</v>
      </c>
      <c r="B54" s="9">
        <v>4198.8100000000004</v>
      </c>
      <c r="C54" s="9">
        <v>3705.1</v>
      </c>
      <c r="D54" s="9">
        <v>3087.7</v>
      </c>
      <c r="E54" s="9">
        <v>3472.16</v>
      </c>
      <c r="F54" s="9">
        <v>493.71</v>
      </c>
    </row>
    <row r="55" spans="1:6" x14ac:dyDescent="0.3">
      <c r="A55" s="5">
        <v>49</v>
      </c>
      <c r="B55" s="6">
        <v>4188.95</v>
      </c>
      <c r="C55" s="6">
        <v>3705.1</v>
      </c>
      <c r="D55" s="6">
        <v>3077.83</v>
      </c>
      <c r="E55" s="6">
        <v>3470.09</v>
      </c>
      <c r="F55" s="6">
        <v>483.84</v>
      </c>
    </row>
    <row r="56" spans="1:6" x14ac:dyDescent="0.3">
      <c r="A56" s="8">
        <v>50</v>
      </c>
      <c r="B56" s="9">
        <v>4179.08</v>
      </c>
      <c r="C56" s="9">
        <v>3705.1</v>
      </c>
      <c r="D56" s="9">
        <v>3067.97</v>
      </c>
      <c r="E56" s="9">
        <v>3468</v>
      </c>
      <c r="F56" s="9">
        <v>473.98</v>
      </c>
    </row>
    <row r="57" spans="1:6" x14ac:dyDescent="0.3">
      <c r="A57" s="5">
        <v>51</v>
      </c>
      <c r="B57" s="6">
        <v>4169.22</v>
      </c>
      <c r="C57" s="6">
        <v>3705.1</v>
      </c>
      <c r="D57" s="6">
        <v>3058.11</v>
      </c>
      <c r="E57" s="6">
        <v>3465.9</v>
      </c>
      <c r="F57" s="6">
        <v>464.11</v>
      </c>
    </row>
    <row r="58" spans="1:6" x14ac:dyDescent="0.3">
      <c r="A58" s="8">
        <v>52</v>
      </c>
      <c r="B58" s="9">
        <v>4159.3500000000004</v>
      </c>
      <c r="C58" s="9">
        <v>3705.1</v>
      </c>
      <c r="D58" s="9">
        <v>3048.24</v>
      </c>
      <c r="E58" s="9">
        <v>3463.77</v>
      </c>
      <c r="F58" s="9">
        <v>454.25</v>
      </c>
    </row>
    <row r="59" spans="1:6" x14ac:dyDescent="0.3">
      <c r="A59" s="5">
        <v>53</v>
      </c>
      <c r="B59" s="6">
        <v>4149.49</v>
      </c>
      <c r="C59" s="6">
        <v>3705.1</v>
      </c>
      <c r="D59" s="6">
        <v>3038.38</v>
      </c>
      <c r="E59" s="6">
        <v>3461.63</v>
      </c>
      <c r="F59" s="6">
        <v>444.38</v>
      </c>
    </row>
    <row r="60" spans="1:6" x14ac:dyDescent="0.3">
      <c r="A60" s="8">
        <v>54</v>
      </c>
      <c r="B60" s="9">
        <v>4139.62</v>
      </c>
      <c r="C60" s="9">
        <v>3705.1</v>
      </c>
      <c r="D60" s="9">
        <v>3028.51</v>
      </c>
      <c r="E60" s="9">
        <v>3459.47</v>
      </c>
      <c r="F60" s="9">
        <v>434.52</v>
      </c>
    </row>
    <row r="61" spans="1:6" x14ac:dyDescent="0.3">
      <c r="A61" s="5">
        <v>55</v>
      </c>
      <c r="B61" s="6">
        <v>4129.76</v>
      </c>
      <c r="C61" s="6">
        <v>3705.1</v>
      </c>
      <c r="D61" s="6">
        <v>3018.65</v>
      </c>
      <c r="E61" s="6">
        <v>3457.29</v>
      </c>
      <c r="F61" s="6">
        <v>424.65</v>
      </c>
    </row>
    <row r="62" spans="1:6" x14ac:dyDescent="0.3">
      <c r="A62" s="8">
        <v>56</v>
      </c>
      <c r="B62" s="9">
        <v>4119.8900000000003</v>
      </c>
      <c r="C62" s="9">
        <v>3705.1</v>
      </c>
      <c r="D62" s="9">
        <v>3008.78</v>
      </c>
      <c r="E62" s="9">
        <v>3455.09</v>
      </c>
      <c r="F62" s="9">
        <v>414.79</v>
      </c>
    </row>
    <row r="63" spans="1:6" x14ac:dyDescent="0.3">
      <c r="A63" s="5">
        <v>57</v>
      </c>
      <c r="B63" s="6">
        <v>4110.03</v>
      </c>
      <c r="C63" s="6">
        <v>3705.1</v>
      </c>
      <c r="D63" s="6">
        <v>2998.92</v>
      </c>
      <c r="E63" s="6">
        <v>3452.87</v>
      </c>
      <c r="F63" s="6">
        <v>404.92</v>
      </c>
    </row>
    <row r="64" spans="1:6" x14ac:dyDescent="0.3">
      <c r="A64" s="8">
        <v>58</v>
      </c>
      <c r="B64" s="9">
        <v>4100.16</v>
      </c>
      <c r="C64" s="9">
        <v>3705.1</v>
      </c>
      <c r="D64" s="9">
        <v>2989.05</v>
      </c>
      <c r="E64" s="9">
        <v>3450.63</v>
      </c>
      <c r="F64" s="9">
        <v>395.06</v>
      </c>
    </row>
    <row r="65" spans="1:6" x14ac:dyDescent="0.3">
      <c r="A65" s="5">
        <v>59</v>
      </c>
      <c r="B65" s="6">
        <v>4090.3</v>
      </c>
      <c r="C65" s="6">
        <v>3705.1</v>
      </c>
      <c r="D65" s="6">
        <v>2979.19</v>
      </c>
      <c r="E65" s="6">
        <v>3448.37</v>
      </c>
      <c r="F65" s="6">
        <v>385.19</v>
      </c>
    </row>
    <row r="66" spans="1:6" x14ac:dyDescent="0.3">
      <c r="A66" s="8">
        <v>60</v>
      </c>
      <c r="B66" s="9">
        <v>4080.43</v>
      </c>
      <c r="C66" s="9">
        <v>3705.1</v>
      </c>
      <c r="D66" s="9">
        <v>2969.32</v>
      </c>
      <c r="E66" s="9">
        <v>3446.09</v>
      </c>
      <c r="F66" s="9">
        <v>375.33</v>
      </c>
    </row>
    <row r="68" spans="1:6" ht="15.6" x14ac:dyDescent="0.3">
      <c r="A68" s="28" t="s">
        <v>32</v>
      </c>
      <c r="B68" s="27"/>
      <c r="C68" s="27"/>
      <c r="D68" s="27"/>
      <c r="E68" s="27"/>
      <c r="F68" s="27"/>
    </row>
    <row r="69" spans="1:6" x14ac:dyDescent="0.3">
      <c r="A69" s="1" t="s">
        <v>33</v>
      </c>
      <c r="B69" s="2">
        <v>1041018.29</v>
      </c>
    </row>
    <row r="70" spans="1:6" x14ac:dyDescent="0.3">
      <c r="A70" s="1" t="s">
        <v>34</v>
      </c>
      <c r="B70" s="2">
        <v>1333836.9099999999</v>
      </c>
    </row>
    <row r="71" spans="1:6" x14ac:dyDescent="0.3">
      <c r="A71" s="1" t="s">
        <v>35</v>
      </c>
      <c r="B71" s="2">
        <v>641018.29</v>
      </c>
    </row>
    <row r="72" spans="1:6" x14ac:dyDescent="0.3">
      <c r="A72" s="1" t="s">
        <v>36</v>
      </c>
      <c r="B72" s="2">
        <v>933836.91</v>
      </c>
    </row>
    <row r="73" spans="1:6" x14ac:dyDescent="0.3">
      <c r="A73" s="1" t="s">
        <v>37</v>
      </c>
      <c r="B73" s="2">
        <v>292818.62</v>
      </c>
    </row>
    <row r="74" spans="1:6" x14ac:dyDescent="0.3">
      <c r="A74" s="1" t="s">
        <v>38</v>
      </c>
      <c r="B74" s="2">
        <v>4662.46</v>
      </c>
    </row>
    <row r="75" spans="1:6" x14ac:dyDescent="0.3">
      <c r="A75" s="1" t="s">
        <v>39</v>
      </c>
      <c r="B75" s="2">
        <v>1120.98</v>
      </c>
    </row>
    <row r="76" spans="1:6" x14ac:dyDescent="0.3">
      <c r="A76" s="1" t="s">
        <v>40</v>
      </c>
      <c r="B76" s="2">
        <v>3705.1</v>
      </c>
    </row>
  </sheetData>
  <mergeCells count="2">
    <mergeCell ref="A68:F6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B4" sqref="B4"/>
    </sheetView>
  </sheetViews>
  <sheetFormatPr defaultRowHeight="14.4" x14ac:dyDescent="0.3"/>
  <cols>
    <col min="1" max="1" width="35" customWidth="1"/>
    <col min="2" max="2" width="25" customWidth="1"/>
    <col min="3" max="3" width="15" customWidth="1"/>
    <col min="4" max="4" width="18" customWidth="1"/>
  </cols>
  <sheetData>
    <row r="1" spans="1:4" ht="30" customHeight="1" x14ac:dyDescent="0.35">
      <c r="A1" s="26" t="s">
        <v>41</v>
      </c>
      <c r="B1" s="27"/>
      <c r="C1" s="27"/>
      <c r="D1" s="27"/>
    </row>
    <row r="3" spans="1:4" x14ac:dyDescent="0.3">
      <c r="A3" s="13" t="s">
        <v>42</v>
      </c>
      <c r="B3" s="13" t="s">
        <v>43</v>
      </c>
      <c r="C3" s="13" t="s">
        <v>44</v>
      </c>
      <c r="D3" s="13" t="s">
        <v>45</v>
      </c>
    </row>
    <row r="4" spans="1:4" x14ac:dyDescent="0.3">
      <c r="A4" s="14" t="s">
        <v>46</v>
      </c>
      <c r="B4" s="10">
        <v>0.1119</v>
      </c>
      <c r="C4" s="8" t="s">
        <v>47</v>
      </c>
      <c r="D4" s="10">
        <v>0.1295</v>
      </c>
    </row>
    <row r="5" spans="1:4" x14ac:dyDescent="0.3">
      <c r="A5" s="15" t="s">
        <v>48</v>
      </c>
      <c r="B5" s="7">
        <v>0.1026</v>
      </c>
      <c r="C5" s="5" t="s">
        <v>47</v>
      </c>
      <c r="D5" s="7">
        <v>0.12</v>
      </c>
    </row>
    <row r="6" spans="1:4" x14ac:dyDescent="0.3">
      <c r="A6" s="14" t="s">
        <v>49</v>
      </c>
      <c r="B6" s="10">
        <v>8.6599999999999996E-2</v>
      </c>
      <c r="C6" s="8" t="s">
        <v>47</v>
      </c>
      <c r="D6" s="10">
        <v>0.105</v>
      </c>
    </row>
    <row r="7" spans="1:4" x14ac:dyDescent="0.3">
      <c r="A7" s="15" t="s">
        <v>50</v>
      </c>
      <c r="B7" s="7">
        <v>0.04</v>
      </c>
      <c r="C7" s="5" t="s">
        <v>47</v>
      </c>
      <c r="D7" s="7">
        <v>5.5E-2</v>
      </c>
    </row>
    <row r="8" spans="1:4" x14ac:dyDescent="0.3">
      <c r="A8" s="14" t="s">
        <v>51</v>
      </c>
      <c r="B8" s="10">
        <v>0.06</v>
      </c>
      <c r="C8" s="8" t="s">
        <v>47</v>
      </c>
      <c r="D8" s="10">
        <v>7.8E-2</v>
      </c>
    </row>
    <row r="9" spans="1:4" x14ac:dyDescent="0.3">
      <c r="A9" s="15" t="s">
        <v>52</v>
      </c>
      <c r="B9" s="7">
        <v>8.5000000000000006E-2</v>
      </c>
      <c r="C9" s="5" t="s">
        <v>47</v>
      </c>
      <c r="D9" s="7">
        <v>0.10199999999999999</v>
      </c>
    </row>
    <row r="10" spans="1:4" x14ac:dyDescent="0.3">
      <c r="A10" s="14" t="s">
        <v>53</v>
      </c>
      <c r="B10" s="10">
        <v>0.11600000000000001</v>
      </c>
      <c r="C10" s="8" t="s">
        <v>47</v>
      </c>
      <c r="D10" s="10">
        <v>0.13400000000000001</v>
      </c>
    </row>
    <row r="11" spans="1:4" x14ac:dyDescent="0.3">
      <c r="A11" s="15" t="s">
        <v>54</v>
      </c>
      <c r="B11" s="7">
        <v>0.11700000000000001</v>
      </c>
      <c r="C11" s="5" t="s">
        <v>47</v>
      </c>
      <c r="D11" s="7">
        <v>0.13500000000000001</v>
      </c>
    </row>
    <row r="12" spans="1:4" x14ac:dyDescent="0.3">
      <c r="A12" s="14" t="s">
        <v>55</v>
      </c>
      <c r="B12" s="10">
        <v>0.1169</v>
      </c>
      <c r="C12" s="8" t="s">
        <v>47</v>
      </c>
      <c r="D12" s="10">
        <v>0.13489999999999999</v>
      </c>
    </row>
    <row r="13" spans="1:4" x14ac:dyDescent="0.3">
      <c r="A13" s="15" t="s">
        <v>56</v>
      </c>
      <c r="B13" s="7">
        <v>0.1174</v>
      </c>
      <c r="C13" s="5" t="s">
        <v>47</v>
      </c>
      <c r="D13" s="7">
        <v>0.13539999999999999</v>
      </c>
    </row>
    <row r="14" spans="1:4" x14ac:dyDescent="0.3">
      <c r="A14" s="14" t="s">
        <v>57</v>
      </c>
      <c r="B14" s="10">
        <v>0.11360000000000001</v>
      </c>
      <c r="C14" s="8" t="s">
        <v>47</v>
      </c>
      <c r="D14" s="10">
        <v>0.13159999999999999</v>
      </c>
    </row>
    <row r="15" spans="1:4" x14ac:dyDescent="0.3">
      <c r="A15" s="15" t="s">
        <v>58</v>
      </c>
      <c r="B15" s="7">
        <v>0.1376</v>
      </c>
      <c r="C15" s="5" t="s">
        <v>47</v>
      </c>
      <c r="D15" s="7">
        <v>0.155</v>
      </c>
    </row>
    <row r="18" spans="1:4" ht="15.6" x14ac:dyDescent="0.3">
      <c r="A18" s="28" t="s">
        <v>59</v>
      </c>
      <c r="B18" s="27"/>
      <c r="C18" s="27"/>
      <c r="D18" s="27"/>
    </row>
    <row r="19" spans="1:4" x14ac:dyDescent="0.3">
      <c r="A19" s="16" t="s">
        <v>60</v>
      </c>
      <c r="B19" s="31" t="s">
        <v>61</v>
      </c>
      <c r="C19" s="32"/>
      <c r="D19" s="33"/>
    </row>
    <row r="20" spans="1:4" x14ac:dyDescent="0.3">
      <c r="A20" s="16" t="s">
        <v>62</v>
      </c>
      <c r="B20" s="31" t="s">
        <v>63</v>
      </c>
      <c r="C20" s="32"/>
      <c r="D20" s="33"/>
    </row>
    <row r="21" spans="1:4" x14ac:dyDescent="0.3">
      <c r="A21" s="16" t="s">
        <v>64</v>
      </c>
      <c r="B21" s="31" t="s">
        <v>65</v>
      </c>
      <c r="C21" s="32"/>
      <c r="D21" s="33"/>
    </row>
    <row r="22" spans="1:4" x14ac:dyDescent="0.3">
      <c r="A22" s="16" t="s">
        <v>66</v>
      </c>
      <c r="B22" s="31" t="s">
        <v>67</v>
      </c>
      <c r="C22" s="32"/>
      <c r="D22" s="33"/>
    </row>
    <row r="23" spans="1:4" x14ac:dyDescent="0.3">
      <c r="A23" s="16" t="s">
        <v>68</v>
      </c>
      <c r="B23" s="31" t="s">
        <v>69</v>
      </c>
      <c r="C23" s="32"/>
      <c r="D23" s="33"/>
    </row>
    <row r="24" spans="1:4" x14ac:dyDescent="0.3">
      <c r="A24" s="16" t="s">
        <v>70</v>
      </c>
      <c r="B24" s="31" t="s">
        <v>71</v>
      </c>
      <c r="C24" s="32"/>
      <c r="D24" s="33"/>
    </row>
    <row r="25" spans="1:4" x14ac:dyDescent="0.3">
      <c r="A25" s="16" t="s">
        <v>72</v>
      </c>
      <c r="B25" s="31" t="s">
        <v>73</v>
      </c>
      <c r="C25" s="32"/>
      <c r="D25" s="33"/>
    </row>
    <row r="26" spans="1:4" x14ac:dyDescent="0.3">
      <c r="A26" s="16" t="s">
        <v>74</v>
      </c>
      <c r="B26" s="31" t="s">
        <v>75</v>
      </c>
      <c r="C26" s="32"/>
      <c r="D26" s="33"/>
    </row>
  </sheetData>
  <mergeCells count="10">
    <mergeCell ref="A1:D1"/>
    <mergeCell ref="A18:D18"/>
    <mergeCell ref="B19:D19"/>
    <mergeCell ref="B23:D23"/>
    <mergeCell ref="B22:D22"/>
    <mergeCell ref="B26:D26"/>
    <mergeCell ref="B21:D21"/>
    <mergeCell ref="B25:D25"/>
    <mergeCell ref="B24:D24"/>
    <mergeCell ref="B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selection sqref="A1:E1"/>
    </sheetView>
  </sheetViews>
  <sheetFormatPr defaultRowHeight="14.4" x14ac:dyDescent="0.3"/>
  <cols>
    <col min="1" max="1" width="28" customWidth="1"/>
    <col min="2" max="2" width="16" customWidth="1"/>
    <col min="3" max="3" width="18" customWidth="1"/>
    <col min="4" max="4" width="50" customWidth="1"/>
    <col min="5" max="5" width="18" customWidth="1"/>
  </cols>
  <sheetData>
    <row r="1" spans="1:5" ht="30" customHeight="1" x14ac:dyDescent="0.35">
      <c r="A1" s="26" t="s">
        <v>76</v>
      </c>
      <c r="B1" s="27"/>
      <c r="C1" s="27"/>
      <c r="D1" s="27"/>
      <c r="E1" s="27"/>
    </row>
    <row r="3" spans="1:5" x14ac:dyDescent="0.3">
      <c r="A3" s="13" t="s">
        <v>77</v>
      </c>
      <c r="B3" s="13" t="s">
        <v>78</v>
      </c>
      <c r="C3" s="13" t="s">
        <v>79</v>
      </c>
      <c r="D3" s="13" t="s">
        <v>80</v>
      </c>
      <c r="E3" s="13" t="s">
        <v>81</v>
      </c>
    </row>
    <row r="4" spans="1:5" x14ac:dyDescent="0.3">
      <c r="A4" s="5" t="s">
        <v>82</v>
      </c>
      <c r="B4" s="17">
        <v>1800</v>
      </c>
      <c r="C4" s="17">
        <v>2100</v>
      </c>
      <c r="D4" s="17">
        <v>300</v>
      </c>
      <c r="E4" s="18">
        <v>0.16666666666666671</v>
      </c>
    </row>
    <row r="5" spans="1:5" x14ac:dyDescent="0.3">
      <c r="A5" s="5" t="s">
        <v>83</v>
      </c>
      <c r="B5" s="17">
        <v>2500</v>
      </c>
      <c r="C5" s="17">
        <v>2800</v>
      </c>
      <c r="D5" s="17">
        <v>300</v>
      </c>
      <c r="E5" s="18">
        <v>0.12</v>
      </c>
    </row>
    <row r="6" spans="1:5" x14ac:dyDescent="0.3">
      <c r="A6" s="5" t="s">
        <v>84</v>
      </c>
      <c r="B6" s="17">
        <v>3500</v>
      </c>
      <c r="C6" s="17">
        <v>3800</v>
      </c>
      <c r="D6" s="17">
        <v>300</v>
      </c>
      <c r="E6" s="18">
        <v>8.5714285714285715E-2</v>
      </c>
    </row>
    <row r="7" spans="1:5" x14ac:dyDescent="0.3">
      <c r="A7" s="5" t="s">
        <v>85</v>
      </c>
      <c r="B7" s="17">
        <v>5000</v>
      </c>
      <c r="C7" s="17">
        <v>5200</v>
      </c>
      <c r="D7" s="17">
        <v>200</v>
      </c>
      <c r="E7" s="18">
        <v>0.04</v>
      </c>
    </row>
    <row r="10" spans="1:5" ht="15.6" x14ac:dyDescent="0.3">
      <c r="A10" s="28" t="s">
        <v>86</v>
      </c>
      <c r="B10" s="27"/>
      <c r="C10" s="27"/>
      <c r="D10" s="27"/>
      <c r="E10" s="27"/>
    </row>
    <row r="11" spans="1:5" x14ac:dyDescent="0.3">
      <c r="A11" s="13" t="s">
        <v>87</v>
      </c>
      <c r="B11" s="13" t="s">
        <v>88</v>
      </c>
      <c r="C11" s="13" t="s">
        <v>89</v>
      </c>
      <c r="D11" s="13" t="s">
        <v>90</v>
      </c>
      <c r="E11" s="13" t="s">
        <v>91</v>
      </c>
    </row>
    <row r="12" spans="1:5" x14ac:dyDescent="0.3">
      <c r="A12" s="14" t="s">
        <v>92</v>
      </c>
      <c r="B12" s="19">
        <v>0.05</v>
      </c>
      <c r="C12" s="20">
        <v>125</v>
      </c>
      <c r="D12" s="14" t="s">
        <v>93</v>
      </c>
      <c r="E12" s="8" t="s">
        <v>94</v>
      </c>
    </row>
    <row r="13" spans="1:5" x14ac:dyDescent="0.3">
      <c r="A13" s="15" t="s">
        <v>95</v>
      </c>
      <c r="B13" s="21">
        <v>0.1</v>
      </c>
      <c r="C13" s="17">
        <v>250</v>
      </c>
      <c r="D13" s="15" t="s">
        <v>96</v>
      </c>
      <c r="E13" s="5" t="s">
        <v>97</v>
      </c>
    </row>
    <row r="14" spans="1:5" x14ac:dyDescent="0.3">
      <c r="A14" s="14" t="s">
        <v>98</v>
      </c>
      <c r="B14" s="19">
        <v>0.15</v>
      </c>
      <c r="C14" s="20">
        <v>375</v>
      </c>
      <c r="D14" s="14" t="s">
        <v>99</v>
      </c>
      <c r="E14" s="8" t="s">
        <v>100</v>
      </c>
    </row>
    <row r="15" spans="1:5" x14ac:dyDescent="0.3">
      <c r="A15" s="15" t="s">
        <v>101</v>
      </c>
      <c r="B15" s="21">
        <v>0.12</v>
      </c>
      <c r="C15" s="17">
        <v>300</v>
      </c>
      <c r="D15" s="15" t="s">
        <v>102</v>
      </c>
      <c r="E15" s="5" t="s">
        <v>103</v>
      </c>
    </row>
    <row r="16" spans="1:5" x14ac:dyDescent="0.3">
      <c r="A16" s="14" t="s">
        <v>104</v>
      </c>
      <c r="B16" s="19">
        <v>0.08</v>
      </c>
      <c r="C16" s="20">
        <v>200</v>
      </c>
      <c r="D16" s="14" t="s">
        <v>105</v>
      </c>
      <c r="E16" s="8" t="s">
        <v>97</v>
      </c>
    </row>
    <row r="17" spans="1:5" x14ac:dyDescent="0.3">
      <c r="A17" s="15" t="s">
        <v>106</v>
      </c>
      <c r="B17" s="21">
        <v>7.0000000000000007E-2</v>
      </c>
      <c r="C17" s="17">
        <v>175</v>
      </c>
      <c r="D17" s="15" t="s">
        <v>107</v>
      </c>
      <c r="E17" s="5" t="s">
        <v>97</v>
      </c>
    </row>
    <row r="18" spans="1:5" x14ac:dyDescent="0.3">
      <c r="A18" s="14" t="s">
        <v>108</v>
      </c>
      <c r="B18" s="19">
        <v>0.08</v>
      </c>
      <c r="C18" s="20">
        <v>200</v>
      </c>
      <c r="D18" s="14" t="s">
        <v>109</v>
      </c>
      <c r="E18" s="8" t="s">
        <v>110</v>
      </c>
    </row>
    <row r="19" spans="1:5" x14ac:dyDescent="0.3">
      <c r="A19" s="15" t="s">
        <v>111</v>
      </c>
      <c r="B19" s="21">
        <v>0.12</v>
      </c>
      <c r="C19" s="17">
        <v>300</v>
      </c>
      <c r="D19" s="15" t="s">
        <v>112</v>
      </c>
      <c r="E19" s="5" t="s">
        <v>113</v>
      </c>
    </row>
    <row r="20" spans="1:5" x14ac:dyDescent="0.3">
      <c r="A20" s="14" t="s">
        <v>114</v>
      </c>
      <c r="B20" s="19">
        <v>0.08</v>
      </c>
      <c r="C20" s="20">
        <v>200</v>
      </c>
      <c r="D20" s="14" t="s">
        <v>115</v>
      </c>
      <c r="E20" s="8" t="s">
        <v>97</v>
      </c>
    </row>
    <row r="21" spans="1:5" x14ac:dyDescent="0.3">
      <c r="A21" s="15" t="s">
        <v>116</v>
      </c>
      <c r="B21" s="21">
        <v>0.05</v>
      </c>
      <c r="C21" s="17">
        <v>125</v>
      </c>
      <c r="D21" s="15" t="s">
        <v>117</v>
      </c>
      <c r="E21" s="5" t="s">
        <v>97</v>
      </c>
    </row>
    <row r="22" spans="1:5" x14ac:dyDescent="0.3">
      <c r="A22" s="14" t="s">
        <v>118</v>
      </c>
      <c r="B22" s="19">
        <v>0.05</v>
      </c>
      <c r="C22" s="20">
        <v>125</v>
      </c>
      <c r="D22" s="14" t="s">
        <v>119</v>
      </c>
      <c r="E22" s="8" t="s">
        <v>97</v>
      </c>
    </row>
    <row r="23" spans="1:5" x14ac:dyDescent="0.3">
      <c r="A23" s="15" t="s">
        <v>120</v>
      </c>
      <c r="B23" s="21">
        <v>0.05</v>
      </c>
      <c r="C23" s="17">
        <v>125</v>
      </c>
      <c r="D23" s="15" t="s">
        <v>121</v>
      </c>
      <c r="E23" s="5" t="s">
        <v>97</v>
      </c>
    </row>
    <row r="24" spans="1:5" x14ac:dyDescent="0.3">
      <c r="A24" s="22" t="s">
        <v>122</v>
      </c>
      <c r="B24" s="23">
        <f>SUM(B12:B23)</f>
        <v>1</v>
      </c>
      <c r="C24" s="24">
        <f>SUM(C12:C23)</f>
        <v>2500</v>
      </c>
      <c r="D24" s="25"/>
      <c r="E24" s="25"/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Simulador SAC</vt:lpstr>
      <vt:lpstr>Comparação SAC vs PRICE</vt:lpstr>
      <vt:lpstr>Taxas Referenciais</vt:lpstr>
      <vt:lpstr>Custos Construção m²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Rezende</cp:lastModifiedBy>
  <dcterms:created xsi:type="dcterms:W3CDTF">2026-07-09T14:11:14Z</dcterms:created>
  <dcterms:modified xsi:type="dcterms:W3CDTF">2026-07-20T05:37:26Z</dcterms:modified>
</cp:coreProperties>
</file>